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O:\Data departamenti\Data əməliyyatları\Hesabatlar\Vahid portal\Hesabatlar_ilkin\KTFN\İFRS\"/>
    </mc:Choice>
  </mc:AlternateContent>
  <xr:revisionPtr revIDLastSave="0" documentId="13_ncr:1_{8433AE61-81FC-430E-B47F-ACF71570D666}" xr6:coauthVersionLast="47" xr6:coauthVersionMax="47" xr10:uidLastSave="{00000000-0000-0000-0000-000000000000}"/>
  <workbookProtection workbookAlgorithmName="SHA-512" workbookHashValue="Eh1Da1bmbkUq08kuxVehnJ4XfyDyQIUJme1q5pQUptd+AZKFyNBGqhw2QJkBjZvGz2IUtwNF1tyaeIsBlj8aTg==" workbookSaltValue="OL2w5jixqiTVvrc5BlQ/9g==" workbookSpinCount="100000" lockStructure="1"/>
  <bookViews>
    <workbookView xWindow="-108" yWindow="-108" windowWidth="23256" windowHeight="12456" tabRatio="922" activeTab="9" xr2:uid="{BB2580AE-DF9B-4C87-960A-E181368B261E}"/>
  </bookViews>
  <sheets>
    <sheet name="Titul vərəqi" sheetId="15" r:id="rId1"/>
    <sheet name="A1" sheetId="10" r:id="rId2"/>
    <sheet name="A1.1" sheetId="19" r:id="rId3"/>
    <sheet name="A1.2" sheetId="23" r:id="rId4"/>
    <sheet name="A2" sheetId="16" r:id="rId5"/>
    <sheet name="A2.1" sheetId="20" r:id="rId6"/>
    <sheet name="A3" sheetId="17" r:id="rId7"/>
    <sheet name="A3.1" sheetId="21" r:id="rId8"/>
    <sheet name="A4" sheetId="18" r:id="rId9"/>
    <sheet name="A4.1" sheetId="22" r:id="rId10"/>
  </sheets>
  <definedNames>
    <definedName name="_xlnm.Print_Area" localSheetId="1">'A1'!$B$2:$N$124</definedName>
    <definedName name="_xlnm.Print_Area" localSheetId="2">'A1.1'!$B$2:$N$2</definedName>
    <definedName name="_xlnm.Print_Area" localSheetId="3">'A1.2'!$B$2:$I$22</definedName>
    <definedName name="_xlnm.Print_Area" localSheetId="5">'A2.1'!$B$2:$N$2</definedName>
    <definedName name="_xlnm.Print_Area" localSheetId="7">'A3.1'!$B$2:$M$2</definedName>
    <definedName name="_xlnm.Print_Area" localSheetId="9">'A4.1'!$B$2:$M$2</definedName>
    <definedName name="_xlnm.Print_Area" localSheetId="0">'Titul vərəqi'!$B$1:$E$26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9" l="1"/>
  <c r="D52" i="18"/>
  <c r="D51" i="18"/>
  <c r="G30" i="17"/>
  <c r="H14" i="23"/>
  <c r="E10" i="23"/>
  <c r="D11" i="23"/>
  <c r="H55" i="19"/>
  <c r="L60" i="16"/>
  <c r="L57" i="16"/>
  <c r="L54" i="16" s="1"/>
  <c r="L51" i="16"/>
  <c r="L48" i="16"/>
  <c r="L45" i="16" s="1"/>
  <c r="L44" i="16" s="1"/>
  <c r="L26" i="16"/>
  <c r="L23" i="16"/>
  <c r="L17" i="16"/>
  <c r="L11" i="16" s="1"/>
  <c r="L14" i="16"/>
  <c r="L93" i="10"/>
  <c r="L85" i="10"/>
  <c r="L84" i="10" s="1"/>
  <c r="L68" i="10"/>
  <c r="L60" i="10"/>
  <c r="L59" i="10" s="1"/>
  <c r="L43" i="10"/>
  <c r="L35" i="10"/>
  <c r="L18" i="10"/>
  <c r="L10" i="10"/>
  <c r="H34" i="17"/>
  <c r="H20" i="17"/>
  <c r="D20" i="17"/>
  <c r="D16" i="23"/>
  <c r="L20" i="16" l="1"/>
  <c r="L10" i="16" s="1"/>
  <c r="L34" i="10"/>
  <c r="L9" i="10"/>
  <c r="D11" i="19"/>
  <c r="G45" i="23" l="1"/>
  <c r="H22" i="23"/>
  <c r="D48" i="23"/>
  <c r="D47" i="23"/>
  <c r="D46" i="23"/>
  <c r="H45" i="23"/>
  <c r="F45" i="23"/>
  <c r="E45" i="23"/>
  <c r="D44" i="23"/>
  <c r="D43" i="23"/>
  <c r="D42" i="23"/>
  <c r="D41" i="23" s="1"/>
  <c r="H41" i="23"/>
  <c r="G41" i="23"/>
  <c r="F41" i="23"/>
  <c r="E41" i="23"/>
  <c r="D40" i="23"/>
  <c r="D39" i="23"/>
  <c r="D38" i="23"/>
  <c r="H37" i="23"/>
  <c r="G37" i="23"/>
  <c r="G32" i="23" s="1"/>
  <c r="F37" i="23"/>
  <c r="F32" i="23" s="1"/>
  <c r="E37" i="23"/>
  <c r="E32" i="23" s="1"/>
  <c r="D36" i="23"/>
  <c r="D35" i="23"/>
  <c r="D34" i="23"/>
  <c r="H33" i="23"/>
  <c r="G33" i="23"/>
  <c r="F33" i="23"/>
  <c r="E33" i="23"/>
  <c r="F18" i="23"/>
  <c r="D20" i="23"/>
  <c r="D23" i="23"/>
  <c r="G22" i="23"/>
  <c r="F22" i="23"/>
  <c r="E22" i="23"/>
  <c r="H18" i="23"/>
  <c r="G18" i="23"/>
  <c r="E18" i="23"/>
  <c r="G14" i="23"/>
  <c r="F14" i="23"/>
  <c r="E14" i="23"/>
  <c r="H10" i="23"/>
  <c r="G10" i="23"/>
  <c r="F10" i="23"/>
  <c r="D25" i="23"/>
  <c r="D24" i="23"/>
  <c r="D21" i="23"/>
  <c r="D19" i="23"/>
  <c r="D17" i="23"/>
  <c r="D15" i="23"/>
  <c r="D14" i="23" s="1"/>
  <c r="D13" i="23"/>
  <c r="D12" i="23"/>
  <c r="D10" i="23" s="1"/>
  <c r="D22" i="23" l="1"/>
  <c r="G9" i="23"/>
  <c r="E9" i="23"/>
  <c r="F9" i="23"/>
  <c r="D45" i="23"/>
  <c r="H32" i="23"/>
  <c r="D33" i="23"/>
  <c r="H9" i="23"/>
  <c r="D18" i="23"/>
  <c r="D9" i="23" s="1"/>
  <c r="D37" i="23"/>
  <c r="D32" i="23"/>
  <c r="I86" i="10"/>
  <c r="E55" i="19"/>
  <c r="D66" i="19"/>
  <c r="E9" i="18"/>
  <c r="D69" i="16"/>
  <c r="D66" i="16"/>
  <c r="D63" i="16" s="1"/>
  <c r="D35" i="16" l="1"/>
  <c r="D32" i="16"/>
  <c r="D29" i="16" s="1"/>
  <c r="H16" i="20" l="1"/>
  <c r="H25" i="20"/>
  <c r="E25" i="20"/>
  <c r="D21" i="20"/>
  <c r="D25" i="20" s="1"/>
  <c r="G24" i="20"/>
  <c r="G25" i="20" s="1"/>
  <c r="D24" i="20"/>
  <c r="F23" i="20"/>
  <c r="D23" i="20" s="1"/>
  <c r="E22" i="20"/>
  <c r="D22" i="20"/>
  <c r="D20" i="20"/>
  <c r="D19" i="20"/>
  <c r="D18" i="20"/>
  <c r="D60" i="19"/>
  <c r="D57" i="19"/>
  <c r="D67" i="19"/>
  <c r="D64" i="19"/>
  <c r="D61" i="19"/>
  <c r="D58" i="19"/>
  <c r="D36" i="20"/>
  <c r="D35" i="20"/>
  <c r="D27" i="21"/>
  <c r="D27" i="22"/>
  <c r="D55" i="19" l="1"/>
  <c r="F25" i="20"/>
  <c r="H49" i="19"/>
  <c r="H19" i="19"/>
  <c r="D17" i="19"/>
  <c r="D12" i="19" l="1"/>
  <c r="E9" i="17"/>
  <c r="E10" i="17"/>
  <c r="I55" i="19" l="1"/>
  <c r="I9" i="19"/>
  <c r="I26" i="18" l="1"/>
  <c r="H26" i="18"/>
  <c r="E23" i="18"/>
  <c r="E26" i="18"/>
  <c r="H28" i="18"/>
  <c r="J30" i="17"/>
  <c r="I30" i="17"/>
  <c r="H30" i="17"/>
  <c r="H31" i="17"/>
  <c r="E17" i="17"/>
  <c r="H17" i="16"/>
  <c r="H14" i="16"/>
  <c r="H39" i="19"/>
  <c r="H29" i="19"/>
  <c r="J93" i="10"/>
  <c r="J85" i="10"/>
  <c r="K43" i="10"/>
  <c r="I19" i="10"/>
  <c r="D19" i="10"/>
  <c r="M10" i="10"/>
  <c r="J10" i="10"/>
  <c r="J9" i="10" s="1"/>
  <c r="J18" i="10"/>
  <c r="I25" i="10"/>
  <c r="D26" i="22"/>
  <c r="G15" i="22"/>
  <c r="G16" i="22" s="1"/>
  <c r="F14" i="22"/>
  <c r="D14" i="22" s="1"/>
  <c r="E13" i="22"/>
  <c r="D13" i="22" s="1"/>
  <c r="D12" i="22"/>
  <c r="D11" i="22"/>
  <c r="D10" i="22"/>
  <c r="D26" i="21"/>
  <c r="G15" i="21"/>
  <c r="F14" i="21"/>
  <c r="F16" i="21" s="1"/>
  <c r="D14" i="21"/>
  <c r="E13" i="21"/>
  <c r="D13" i="21" s="1"/>
  <c r="D12" i="21"/>
  <c r="D11" i="21"/>
  <c r="D10" i="21"/>
  <c r="G15" i="20"/>
  <c r="F14" i="20"/>
  <c r="F16" i="20" s="1"/>
  <c r="E13" i="20"/>
  <c r="E16" i="20" s="1"/>
  <c r="D12" i="20"/>
  <c r="D11" i="20"/>
  <c r="D10" i="20"/>
  <c r="G46" i="19"/>
  <c r="G49" i="19" s="1"/>
  <c r="F45" i="19"/>
  <c r="F49" i="19" s="1"/>
  <c r="E44" i="19"/>
  <c r="E49" i="19" s="1"/>
  <c r="G36" i="19"/>
  <c r="G39" i="19" s="1"/>
  <c r="F35" i="19"/>
  <c r="F39" i="19" s="1"/>
  <c r="E34" i="19"/>
  <c r="E39" i="19" s="1"/>
  <c r="G26" i="19"/>
  <c r="G29" i="19" s="1"/>
  <c r="F25" i="19"/>
  <c r="F29" i="19" s="1"/>
  <c r="E24" i="19"/>
  <c r="E29" i="19" s="1"/>
  <c r="E14" i="19"/>
  <c r="E19" i="19" s="1"/>
  <c r="D63" i="19"/>
  <c r="H11" i="16" l="1"/>
  <c r="D15" i="22"/>
  <c r="D16" i="22"/>
  <c r="D15" i="21"/>
  <c r="D16" i="21" s="1"/>
  <c r="G16" i="21"/>
  <c r="E16" i="21"/>
  <c r="D15" i="20"/>
  <c r="G16" i="20"/>
  <c r="E9" i="19"/>
  <c r="H9" i="19"/>
  <c r="E16" i="22"/>
  <c r="F16" i="22"/>
  <c r="D13" i="20"/>
  <c r="D16" i="20" s="1"/>
  <c r="D14" i="20"/>
  <c r="G55" i="19"/>
  <c r="F55" i="19" l="1"/>
  <c r="D48" i="19" l="1"/>
  <c r="D47" i="19"/>
  <c r="D46" i="19"/>
  <c r="D45" i="19"/>
  <c r="D43" i="19"/>
  <c r="D42" i="19"/>
  <c r="D41" i="19"/>
  <c r="D38" i="19"/>
  <c r="D37" i="19"/>
  <c r="D35" i="19"/>
  <c r="D34" i="19"/>
  <c r="D33" i="19"/>
  <c r="D32" i="19"/>
  <c r="D31" i="19"/>
  <c r="D28" i="19"/>
  <c r="D27" i="19"/>
  <c r="D26" i="19"/>
  <c r="D25" i="19"/>
  <c r="D24" i="19"/>
  <c r="D22" i="19"/>
  <c r="D21" i="19"/>
  <c r="G16" i="19"/>
  <c r="G19" i="19" s="1"/>
  <c r="G9" i="19" s="1"/>
  <c r="D18" i="19"/>
  <c r="F15" i="19"/>
  <c r="D13" i="19"/>
  <c r="D29" i="19" l="1"/>
  <c r="D15" i="19"/>
  <c r="F19" i="19"/>
  <c r="F9" i="19" s="1"/>
  <c r="D36" i="19"/>
  <c r="D39" i="19" s="1"/>
  <c r="D44" i="19"/>
  <c r="D49" i="19" s="1"/>
  <c r="D14" i="19"/>
  <c r="D16" i="19" l="1"/>
  <c r="D19" i="19" s="1"/>
  <c r="D9" i="19" l="1"/>
  <c r="I13" i="10"/>
  <c r="I12" i="10"/>
  <c r="H49" i="18" l="1"/>
  <c r="D49" i="18"/>
  <c r="D13" i="18"/>
  <c r="D11" i="18"/>
  <c r="D10" i="18" s="1"/>
  <c r="D9" i="18" s="1"/>
  <c r="E20" i="18"/>
  <c r="E17" i="18"/>
  <c r="E13" i="18"/>
  <c r="I10" i="18"/>
  <c r="F10" i="18"/>
  <c r="E10" i="18"/>
  <c r="I13" i="18"/>
  <c r="H11" i="18"/>
  <c r="H39" i="17"/>
  <c r="E48" i="16"/>
  <c r="I22" i="16"/>
  <c r="I15" i="16"/>
  <c r="D12" i="16"/>
  <c r="I12" i="16"/>
  <c r="E23" i="16"/>
  <c r="E17" i="16"/>
  <c r="F14" i="16"/>
  <c r="E14" i="16"/>
  <c r="E11" i="16" s="1"/>
  <c r="D117" i="10"/>
  <c r="D109" i="10"/>
  <c r="D141" i="10"/>
  <c r="D133" i="10"/>
  <c r="I90" i="10"/>
  <c r="I100" i="10"/>
  <c r="D100" i="10"/>
  <c r="I99" i="10"/>
  <c r="D99" i="10"/>
  <c r="I98" i="10"/>
  <c r="D98" i="10"/>
  <c r="I97" i="10"/>
  <c r="D97" i="10"/>
  <c r="I96" i="10"/>
  <c r="D96" i="10"/>
  <c r="I95" i="10"/>
  <c r="D95" i="10"/>
  <c r="I94" i="10"/>
  <c r="D94" i="10"/>
  <c r="M93" i="10"/>
  <c r="K93" i="10"/>
  <c r="H93" i="10"/>
  <c r="G93" i="10"/>
  <c r="F93" i="10"/>
  <c r="E93" i="10"/>
  <c r="I92" i="10"/>
  <c r="D92" i="10"/>
  <c r="I91" i="10"/>
  <c r="D91" i="10"/>
  <c r="D90" i="10"/>
  <c r="I89" i="10"/>
  <c r="D89" i="10"/>
  <c r="I88" i="10"/>
  <c r="D88" i="10"/>
  <c r="I87" i="10"/>
  <c r="D87" i="10"/>
  <c r="D86" i="10"/>
  <c r="M85" i="10"/>
  <c r="K85" i="10"/>
  <c r="H85" i="10"/>
  <c r="G85" i="10"/>
  <c r="F85" i="10"/>
  <c r="E85" i="10"/>
  <c r="I75" i="10"/>
  <c r="D75" i="10"/>
  <c r="I74" i="10"/>
  <c r="D74" i="10"/>
  <c r="I73" i="10"/>
  <c r="D73" i="10"/>
  <c r="I72" i="10"/>
  <c r="D72" i="10"/>
  <c r="I71" i="10"/>
  <c r="D71" i="10"/>
  <c r="I70" i="10"/>
  <c r="D70" i="10"/>
  <c r="I69" i="10"/>
  <c r="D69" i="10"/>
  <c r="M68" i="10"/>
  <c r="K68" i="10"/>
  <c r="J68" i="10"/>
  <c r="H68" i="10"/>
  <c r="G68" i="10"/>
  <c r="F68" i="10"/>
  <c r="E68" i="10"/>
  <c r="I67" i="10"/>
  <c r="D67" i="10"/>
  <c r="I66" i="10"/>
  <c r="D66" i="10"/>
  <c r="I65" i="10"/>
  <c r="D65" i="10"/>
  <c r="I64" i="10"/>
  <c r="D64" i="10"/>
  <c r="I63" i="10"/>
  <c r="D63" i="10"/>
  <c r="I62" i="10"/>
  <c r="D62" i="10"/>
  <c r="I61" i="10"/>
  <c r="D61" i="10"/>
  <c r="M60" i="10"/>
  <c r="K60" i="10"/>
  <c r="J60" i="10"/>
  <c r="H60" i="10"/>
  <c r="G60" i="10"/>
  <c r="F60" i="10"/>
  <c r="E60" i="10"/>
  <c r="I50" i="10"/>
  <c r="D50" i="10"/>
  <c r="I49" i="10"/>
  <c r="D49" i="10"/>
  <c r="I48" i="10"/>
  <c r="D48" i="10"/>
  <c r="I47" i="10"/>
  <c r="D47" i="10"/>
  <c r="I46" i="10"/>
  <c r="D46" i="10"/>
  <c r="I45" i="10"/>
  <c r="D45" i="10"/>
  <c r="I44" i="10"/>
  <c r="D44" i="10"/>
  <c r="M43" i="10"/>
  <c r="J43" i="10"/>
  <c r="H43" i="10"/>
  <c r="G43" i="10"/>
  <c r="F43" i="10"/>
  <c r="E43" i="10"/>
  <c r="I42" i="10"/>
  <c r="D42" i="10"/>
  <c r="I41" i="10"/>
  <c r="D41" i="10"/>
  <c r="I40" i="10"/>
  <c r="D40" i="10"/>
  <c r="I39" i="10"/>
  <c r="D39" i="10"/>
  <c r="I38" i="10"/>
  <c r="D38" i="10"/>
  <c r="I37" i="10"/>
  <c r="D37" i="10"/>
  <c r="I36" i="10"/>
  <c r="D36" i="10"/>
  <c r="M35" i="10"/>
  <c r="K35" i="10"/>
  <c r="J35" i="10"/>
  <c r="H35" i="10"/>
  <c r="G35" i="10"/>
  <c r="F35" i="10"/>
  <c r="E35" i="10"/>
  <c r="D11" i="10"/>
  <c r="D16" i="10"/>
  <c r="I11" i="10"/>
  <c r="I14" i="10"/>
  <c r="I15" i="10"/>
  <c r="I16" i="10"/>
  <c r="I17" i="10"/>
  <c r="I20" i="10"/>
  <c r="I21" i="10"/>
  <c r="I22" i="10"/>
  <c r="I23" i="10"/>
  <c r="I24" i="10"/>
  <c r="J17" i="18"/>
  <c r="H17" i="18"/>
  <c r="H9" i="18"/>
  <c r="K9" i="18"/>
  <c r="J10" i="18"/>
  <c r="G10" i="18"/>
  <c r="H10" i="18"/>
  <c r="H14" i="18"/>
  <c r="H13" i="18"/>
  <c r="F9" i="18"/>
  <c r="H29" i="17"/>
  <c r="E29" i="17"/>
  <c r="H9" i="17"/>
  <c r="I9" i="17"/>
  <c r="J9" i="18"/>
  <c r="I9" i="18"/>
  <c r="G9" i="18"/>
  <c r="G37" i="18"/>
  <c r="F37" i="18"/>
  <c r="I37" i="18"/>
  <c r="J37" i="18"/>
  <c r="K37" i="18"/>
  <c r="H37" i="18"/>
  <c r="H38" i="18"/>
  <c r="D15" i="17"/>
  <c r="D12" i="17"/>
  <c r="H11" i="17"/>
  <c r="D53" i="18"/>
  <c r="D42" i="18"/>
  <c r="D40" i="18"/>
  <c r="H39" i="18"/>
  <c r="H56" i="18"/>
  <c r="H55" i="18"/>
  <c r="H54" i="18"/>
  <c r="H53" i="18"/>
  <c r="H52" i="18"/>
  <c r="H51" i="18"/>
  <c r="H50" i="18"/>
  <c r="H48" i="18"/>
  <c r="H47" i="18"/>
  <c r="H46" i="18"/>
  <c r="H45" i="18"/>
  <c r="H44" i="18"/>
  <c r="H43" i="18"/>
  <c r="H42" i="18"/>
  <c r="H41" i="18"/>
  <c r="H40" i="18"/>
  <c r="D56" i="18"/>
  <c r="D55" i="18"/>
  <c r="D54" i="18"/>
  <c r="D50" i="18"/>
  <c r="D47" i="18"/>
  <c r="D46" i="18"/>
  <c r="D45" i="18"/>
  <c r="D43" i="18"/>
  <c r="D41" i="18"/>
  <c r="D39" i="18"/>
  <c r="D38" i="18"/>
  <c r="H27" i="18"/>
  <c r="H25" i="18"/>
  <c r="H24" i="18"/>
  <c r="H23" i="18"/>
  <c r="H22" i="18"/>
  <c r="H21" i="18"/>
  <c r="H20" i="18"/>
  <c r="H19" i="18"/>
  <c r="H18" i="18"/>
  <c r="H16" i="18"/>
  <c r="H15" i="18"/>
  <c r="H12" i="18"/>
  <c r="D12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E37" i="17"/>
  <c r="E34" i="17"/>
  <c r="E30" i="17"/>
  <c r="D31" i="17"/>
  <c r="K34" i="10" l="1"/>
  <c r="G84" i="10"/>
  <c r="I43" i="10"/>
  <c r="M84" i="10"/>
  <c r="H34" i="10"/>
  <c r="I68" i="10"/>
  <c r="D35" i="10"/>
  <c r="M59" i="10"/>
  <c r="I93" i="10"/>
  <c r="I35" i="10"/>
  <c r="J59" i="10"/>
  <c r="K84" i="10"/>
  <c r="G59" i="10"/>
  <c r="K59" i="10"/>
  <c r="F84" i="10"/>
  <c r="D43" i="10"/>
  <c r="D68" i="10"/>
  <c r="I85" i="10"/>
  <c r="D93" i="10"/>
  <c r="D132" i="10"/>
  <c r="D108" i="10"/>
  <c r="H59" i="10"/>
  <c r="J34" i="10"/>
  <c r="I60" i="10"/>
  <c r="H84" i="10"/>
  <c r="M34" i="10"/>
  <c r="J84" i="10"/>
  <c r="D60" i="10"/>
  <c r="E34" i="10"/>
  <c r="F34" i="10"/>
  <c r="E59" i="10"/>
  <c r="D85" i="10"/>
  <c r="G34" i="10"/>
  <c r="F59" i="10"/>
  <c r="E84" i="10"/>
  <c r="D30" i="17"/>
  <c r="D29" i="17" s="1"/>
  <c r="D52" i="16"/>
  <c r="E51" i="16"/>
  <c r="E45" i="16" s="1"/>
  <c r="H37" i="17"/>
  <c r="H40" i="17"/>
  <c r="H38" i="17"/>
  <c r="H36" i="17"/>
  <c r="H35" i="17"/>
  <c r="H33" i="17"/>
  <c r="H32" i="17"/>
  <c r="D40" i="17"/>
  <c r="D39" i="17"/>
  <c r="D38" i="17"/>
  <c r="D37" i="17"/>
  <c r="D36" i="17"/>
  <c r="D35" i="17"/>
  <c r="D34" i="17"/>
  <c r="D33" i="17"/>
  <c r="D32" i="17"/>
  <c r="H17" i="17"/>
  <c r="H14" i="17"/>
  <c r="H12" i="17"/>
  <c r="H19" i="17"/>
  <c r="H18" i="17"/>
  <c r="H16" i="17"/>
  <c r="H15" i="17"/>
  <c r="H13" i="17"/>
  <c r="D13" i="17"/>
  <c r="D14" i="17"/>
  <c r="D16" i="17"/>
  <c r="D17" i="17"/>
  <c r="D18" i="17"/>
  <c r="D19" i="17"/>
  <c r="D11" i="17"/>
  <c r="I13" i="16"/>
  <c r="D13" i="16"/>
  <c r="I62" i="16"/>
  <c r="I61" i="16"/>
  <c r="I59" i="16"/>
  <c r="I58" i="16"/>
  <c r="I56" i="16"/>
  <c r="I55" i="16"/>
  <c r="I53" i="16"/>
  <c r="I52" i="16"/>
  <c r="I50" i="16"/>
  <c r="I49" i="16"/>
  <c r="I47" i="16"/>
  <c r="I46" i="16"/>
  <c r="D62" i="16"/>
  <c r="D61" i="16"/>
  <c r="D59" i="16"/>
  <c r="D58" i="16"/>
  <c r="D56" i="16"/>
  <c r="D55" i="16"/>
  <c r="D53" i="16"/>
  <c r="D50" i="16"/>
  <c r="D49" i="16"/>
  <c r="D47" i="16"/>
  <c r="D46" i="16"/>
  <c r="D28" i="16"/>
  <c r="D27" i="16"/>
  <c r="D25" i="16"/>
  <c r="D24" i="16"/>
  <c r="D22" i="16"/>
  <c r="D21" i="16"/>
  <c r="D19" i="16"/>
  <c r="D18" i="16"/>
  <c r="D16" i="16"/>
  <c r="D15" i="16"/>
  <c r="I28" i="16"/>
  <c r="I27" i="16"/>
  <c r="I25" i="16"/>
  <c r="I24" i="16"/>
  <c r="I21" i="16"/>
  <c r="I19" i="16"/>
  <c r="I18" i="16"/>
  <c r="I16" i="16"/>
  <c r="F13" i="18"/>
  <c r="G13" i="18"/>
  <c r="J13" i="18"/>
  <c r="K13" i="18"/>
  <c r="K10" i="18"/>
  <c r="K54" i="18"/>
  <c r="J54" i="18"/>
  <c r="I54" i="18"/>
  <c r="G54" i="18"/>
  <c r="F54" i="18"/>
  <c r="E54" i="18"/>
  <c r="K51" i="18"/>
  <c r="J51" i="18"/>
  <c r="I51" i="18"/>
  <c r="G51" i="18"/>
  <c r="F51" i="18"/>
  <c r="E51" i="18"/>
  <c r="K48" i="18"/>
  <c r="J48" i="18"/>
  <c r="J44" i="18" s="1"/>
  <c r="I48" i="18"/>
  <c r="I44" i="18" s="1"/>
  <c r="G48" i="18"/>
  <c r="F48" i="18"/>
  <c r="E48" i="18"/>
  <c r="D48" i="18" s="1"/>
  <c r="K45" i="18"/>
  <c r="J45" i="18"/>
  <c r="I45" i="18"/>
  <c r="G45" i="18"/>
  <c r="G44" i="18" s="1"/>
  <c r="F45" i="18"/>
  <c r="F44" i="18" s="1"/>
  <c r="E45" i="18"/>
  <c r="E44" i="18" s="1"/>
  <c r="K44" i="18"/>
  <c r="K41" i="18"/>
  <c r="J41" i="18"/>
  <c r="I41" i="18"/>
  <c r="G41" i="18"/>
  <c r="F41" i="18"/>
  <c r="E41" i="18"/>
  <c r="K38" i="18"/>
  <c r="J38" i="18"/>
  <c r="I38" i="18"/>
  <c r="G38" i="18"/>
  <c r="F38" i="18"/>
  <c r="E38" i="18"/>
  <c r="K26" i="18"/>
  <c r="J26" i="18"/>
  <c r="G26" i="18"/>
  <c r="F26" i="18"/>
  <c r="K23" i="18"/>
  <c r="J23" i="18"/>
  <c r="I23" i="18"/>
  <c r="G23" i="18"/>
  <c r="F23" i="18"/>
  <c r="K20" i="18"/>
  <c r="J20" i="18"/>
  <c r="I20" i="18"/>
  <c r="G20" i="18"/>
  <c r="F20" i="18"/>
  <c r="E16" i="18"/>
  <c r="K17" i="18"/>
  <c r="I17" i="18"/>
  <c r="G17" i="18"/>
  <c r="G16" i="18" s="1"/>
  <c r="F17" i="18"/>
  <c r="F16" i="18" s="1"/>
  <c r="K16" i="18"/>
  <c r="J16" i="18"/>
  <c r="I16" i="18"/>
  <c r="D44" i="18" l="1"/>
  <c r="D37" i="18" s="1"/>
  <c r="E37" i="18"/>
  <c r="D34" i="10"/>
  <c r="I34" i="10"/>
  <c r="I59" i="10"/>
  <c r="D59" i="10"/>
  <c r="I84" i="10"/>
  <c r="D84" i="10"/>
  <c r="D10" i="17"/>
  <c r="H10" i="17" l="1"/>
  <c r="K37" i="17"/>
  <c r="J37" i="17"/>
  <c r="I37" i="17"/>
  <c r="G37" i="17"/>
  <c r="F37" i="17"/>
  <c r="K34" i="17"/>
  <c r="J34" i="17"/>
  <c r="I34" i="17"/>
  <c r="G34" i="17"/>
  <c r="F34" i="17"/>
  <c r="K30" i="17"/>
  <c r="G29" i="17"/>
  <c r="F30" i="17"/>
  <c r="F29" i="17" s="1"/>
  <c r="K17" i="17"/>
  <c r="J17" i="17"/>
  <c r="I17" i="17"/>
  <c r="G17" i="17"/>
  <c r="F17" i="17"/>
  <c r="E14" i="17"/>
  <c r="F14" i="17"/>
  <c r="G14" i="17"/>
  <c r="I14" i="17"/>
  <c r="J14" i="17"/>
  <c r="K14" i="17"/>
  <c r="F10" i="17"/>
  <c r="G10" i="17"/>
  <c r="I10" i="17"/>
  <c r="J10" i="17"/>
  <c r="J9" i="17" s="1"/>
  <c r="K10" i="17"/>
  <c r="M60" i="16"/>
  <c r="K60" i="16"/>
  <c r="K54" i="16" s="1"/>
  <c r="J60" i="16"/>
  <c r="I60" i="16" s="1"/>
  <c r="H60" i="16"/>
  <c r="G60" i="16"/>
  <c r="F60" i="16"/>
  <c r="E60" i="16"/>
  <c r="M57" i="16"/>
  <c r="K57" i="16"/>
  <c r="J57" i="16"/>
  <c r="H57" i="16"/>
  <c r="G57" i="16"/>
  <c r="F57" i="16"/>
  <c r="E57" i="16"/>
  <c r="M51" i="16"/>
  <c r="K51" i="16"/>
  <c r="J51" i="16"/>
  <c r="I51" i="16" s="1"/>
  <c r="H51" i="16"/>
  <c r="G51" i="16"/>
  <c r="F51" i="16"/>
  <c r="M48" i="16"/>
  <c r="K48" i="16"/>
  <c r="J48" i="16"/>
  <c r="H48" i="16"/>
  <c r="G48" i="16"/>
  <c r="F48" i="16"/>
  <c r="M26" i="16"/>
  <c r="K26" i="16"/>
  <c r="J26" i="16"/>
  <c r="I26" i="16" s="1"/>
  <c r="H26" i="16"/>
  <c r="G26" i="16"/>
  <c r="F26" i="16"/>
  <c r="E26" i="16"/>
  <c r="M23" i="16"/>
  <c r="K23" i="16"/>
  <c r="J23" i="16"/>
  <c r="H23" i="16"/>
  <c r="G23" i="16"/>
  <c r="F23" i="16"/>
  <c r="E20" i="16"/>
  <c r="G14" i="16"/>
  <c r="D14" i="16" s="1"/>
  <c r="J14" i="16"/>
  <c r="K14" i="16"/>
  <c r="M14" i="16"/>
  <c r="F17" i="16"/>
  <c r="G17" i="16"/>
  <c r="J17" i="16"/>
  <c r="K17" i="16"/>
  <c r="M17" i="16"/>
  <c r="I48" i="16" l="1"/>
  <c r="J54" i="16"/>
  <c r="G20" i="16"/>
  <c r="M54" i="16"/>
  <c r="J11" i="16"/>
  <c r="J10" i="16" s="1"/>
  <c r="D60" i="16"/>
  <c r="F45" i="16"/>
  <c r="F44" i="16" s="1"/>
  <c r="D48" i="16"/>
  <c r="D45" i="16" s="1"/>
  <c r="K20" i="16"/>
  <c r="F20" i="16"/>
  <c r="D20" i="16" s="1"/>
  <c r="D23" i="16"/>
  <c r="G45" i="16"/>
  <c r="E54" i="16"/>
  <c r="E44" i="16" s="1"/>
  <c r="D57" i="16"/>
  <c r="I17" i="16"/>
  <c r="I14" i="16"/>
  <c r="I11" i="16" s="1"/>
  <c r="I54" i="16"/>
  <c r="H20" i="16"/>
  <c r="H10" i="16" s="1"/>
  <c r="J20" i="16"/>
  <c r="I23" i="16"/>
  <c r="F54" i="16"/>
  <c r="I45" i="16"/>
  <c r="I44" i="16" s="1"/>
  <c r="G11" i="16"/>
  <c r="G10" i="16" s="1"/>
  <c r="F11" i="16"/>
  <c r="F10" i="16" s="1"/>
  <c r="D17" i="16"/>
  <c r="D11" i="16" s="1"/>
  <c r="D26" i="16"/>
  <c r="M45" i="16"/>
  <c r="I57" i="16"/>
  <c r="M11" i="16"/>
  <c r="M10" i="16" s="1"/>
  <c r="D51" i="16"/>
  <c r="K11" i="16"/>
  <c r="J45" i="16"/>
  <c r="K45" i="16"/>
  <c r="M20" i="16"/>
  <c r="G54" i="16"/>
  <c r="H54" i="16"/>
  <c r="H45" i="16"/>
  <c r="K29" i="17"/>
  <c r="I29" i="17"/>
  <c r="J29" i="17"/>
  <c r="G9" i="17"/>
  <c r="F9" i="17"/>
  <c r="K9" i="17"/>
  <c r="D9" i="17"/>
  <c r="K44" i="16"/>
  <c r="J44" i="16"/>
  <c r="E10" i="16"/>
  <c r="G44" i="16" l="1"/>
  <c r="M44" i="16"/>
  <c r="H44" i="16"/>
  <c r="D10" i="16"/>
  <c r="I20" i="16"/>
  <c r="I10" i="16" s="1"/>
  <c r="D54" i="16"/>
  <c r="D44" i="16" s="1"/>
  <c r="K10" i="16"/>
  <c r="E10" i="10"/>
  <c r="D25" i="10"/>
  <c r="D24" i="10"/>
  <c r="F18" i="10"/>
  <c r="G18" i="10"/>
  <c r="H18" i="10"/>
  <c r="E18" i="10"/>
  <c r="D18" i="10" s="1"/>
  <c r="K10" i="10"/>
  <c r="F10" i="10"/>
  <c r="G10" i="10"/>
  <c r="H10" i="10"/>
  <c r="D12" i="10"/>
  <c r="D13" i="10"/>
  <c r="D14" i="10"/>
  <c r="D15" i="10"/>
  <c r="D17" i="10"/>
  <c r="D20" i="10"/>
  <c r="D21" i="10"/>
  <c r="D22" i="10"/>
  <c r="D23" i="10"/>
  <c r="E9" i="10" l="1"/>
  <c r="I10" i="10"/>
  <c r="H9" i="10"/>
  <c r="G9" i="10"/>
  <c r="F9" i="10"/>
  <c r="M18" i="10" l="1"/>
  <c r="M9" i="10" s="1"/>
  <c r="K18" i="10"/>
  <c r="I18" i="10" s="1"/>
  <c r="K9" i="10" l="1"/>
  <c r="I9" i="10"/>
  <c r="D10" i="10"/>
  <c r="D9" i="10" s="1"/>
</calcChain>
</file>

<file path=xl/sharedStrings.xml><?xml version="1.0" encoding="utf-8"?>
<sst xmlns="http://schemas.openxmlformats.org/spreadsheetml/2006/main" count="1372" uniqueCount="501">
  <si>
    <t>(min manatla)</t>
  </si>
  <si>
    <t>Mərhələ 1</t>
  </si>
  <si>
    <t>Mərhələ 2</t>
  </si>
  <si>
    <t>Mərhələ 3</t>
  </si>
  <si>
    <t>AZƏRBAYCAN RESPUBLİKASININ MƏRKƏZİ BANKI</t>
  </si>
  <si>
    <t>CƏDVƏL Ü 1 - TİTUL VƏRƏQİ</t>
  </si>
  <si>
    <t>Bankın adı:</t>
  </si>
  <si>
    <t>Lisenziya nömrəsi:</t>
  </si>
  <si>
    <t xml:space="preserve">Bankın ünvanı: </t>
  </si>
  <si>
    <t xml:space="preserve">Hesabat tarixi:   </t>
  </si>
  <si>
    <t>Hesabatın başa çatdırılması tarixi:</t>
  </si>
  <si>
    <t>İMZA VƏ ŞƏHADƏTNAMƏ</t>
  </si>
  <si>
    <r>
      <t xml:space="preserve">Elektron imza hüququna malik 
İdarə Heyətinin üzvü, 
</t>
    </r>
    <r>
      <rPr>
        <b/>
        <i/>
        <sz val="12"/>
        <rFont val="Times New Roman"/>
        <family val="1"/>
      </rPr>
      <t>(soyadı, adı, atasının adı):</t>
    </r>
  </si>
  <si>
    <r>
      <t xml:space="preserve">Elektron imza hüququ etibarlıdır </t>
    </r>
    <r>
      <rPr>
        <b/>
        <i/>
        <sz val="12"/>
        <rFont val="Times New Roman"/>
        <family val="1"/>
      </rPr>
      <t>(son tarix)</t>
    </r>
    <r>
      <rPr>
        <b/>
        <sz val="12"/>
        <rFont val="Times New Roman"/>
        <family val="1"/>
      </rPr>
      <t xml:space="preserve">: </t>
    </r>
  </si>
  <si>
    <t>Hesabatı tərtib edən struktur:</t>
  </si>
  <si>
    <t>Hesabatı tərtib edən şəxs:</t>
  </si>
  <si>
    <t>Adı (soyadı, adı, atasının adı):</t>
  </si>
  <si>
    <t>Vəzifəsi:</t>
  </si>
  <si>
    <t>Elektron poçt ünvanı:</t>
  </si>
  <si>
    <t>Telefon nömrəsi:</t>
  </si>
  <si>
    <t>Faks nömrəsi:</t>
  </si>
  <si>
    <t>MHBS 9 standartının tətbiqi üzrə ƏLAVƏ HESABAT</t>
  </si>
  <si>
    <t>Mən təsdiq edirəm ki, bu hesabat Azərbaycan Respublikasının Mərkəzi Bankının təlimatlarına uyğun olaraq hazırlanmış və  hesabatda təqdim olunmuş bank əməliyyatların vəziyyəti və nəticələri barədə məlumatlar tamamilə doğrudur.</t>
  </si>
  <si>
    <t>A1</t>
  </si>
  <si>
    <t>1. Biznes kreditləri</t>
  </si>
  <si>
    <t>1.1 Sənaye</t>
  </si>
  <si>
    <t>1.2 Kənd təsərrüfatı</t>
  </si>
  <si>
    <t>1.3 Tikinti sahəsi</t>
  </si>
  <si>
    <t>1.4 Nəqliyyat</t>
  </si>
  <si>
    <t>1.5 İnformasiya və Rabitə</t>
  </si>
  <si>
    <t>1.6 Ticarət müəssisələrinə kredit</t>
  </si>
  <si>
    <t xml:space="preserve">1.7 Digər qeyri-istehsal və xidmət sahələri </t>
  </si>
  <si>
    <t>A1_1</t>
  </si>
  <si>
    <t>A1_2</t>
  </si>
  <si>
    <t>A1_3</t>
  </si>
  <si>
    <t>A1_4</t>
  </si>
  <si>
    <t>A1_5</t>
  </si>
  <si>
    <t>A1_6</t>
  </si>
  <si>
    <t>A1_7</t>
  </si>
  <si>
    <t>A2</t>
  </si>
  <si>
    <t>A2_1</t>
  </si>
  <si>
    <t>A2_2</t>
  </si>
  <si>
    <t>A2_3</t>
  </si>
  <si>
    <t>A2_4</t>
  </si>
  <si>
    <t>A2_5</t>
  </si>
  <si>
    <t>2. İstehlak kreditləri</t>
  </si>
  <si>
    <t>2.1 Yaşayış sahəsinin təmirinə</t>
  </si>
  <si>
    <t>2.2 Avtomobil alınmasına</t>
  </si>
  <si>
    <t>2.3 Məişət avadanlıqlarının alınmasına</t>
  </si>
  <si>
    <t>2.5 Digər</t>
  </si>
  <si>
    <t>3. Daşınmaz əmlak kreditləri</t>
  </si>
  <si>
    <t>4. Digər kreditlər</t>
  </si>
  <si>
    <t>A3</t>
  </si>
  <si>
    <t>A4</t>
  </si>
  <si>
    <t>A</t>
  </si>
  <si>
    <t>B1</t>
  </si>
  <si>
    <t>B1_1</t>
  </si>
  <si>
    <t>B1_2</t>
  </si>
  <si>
    <t>B1_3</t>
  </si>
  <si>
    <t>B1_4</t>
  </si>
  <si>
    <t>B1_5</t>
  </si>
  <si>
    <t>B1_6</t>
  </si>
  <si>
    <t>B1_7</t>
  </si>
  <si>
    <t>B2</t>
  </si>
  <si>
    <t>B2_1</t>
  </si>
  <si>
    <t>B2_2</t>
  </si>
  <si>
    <t>B2_3</t>
  </si>
  <si>
    <t>B2_4</t>
  </si>
  <si>
    <t>B2_5</t>
  </si>
  <si>
    <t>B3</t>
  </si>
  <si>
    <t>B4</t>
  </si>
  <si>
    <t>B</t>
  </si>
  <si>
    <t>C1</t>
  </si>
  <si>
    <t>C1_1</t>
  </si>
  <si>
    <t>C1_2</t>
  </si>
  <si>
    <t>C1_3</t>
  </si>
  <si>
    <t>C1_4</t>
  </si>
  <si>
    <t>C1_5</t>
  </si>
  <si>
    <t>C1_6</t>
  </si>
  <si>
    <t>C1_7</t>
  </si>
  <si>
    <t>C2</t>
  </si>
  <si>
    <t>C2_1</t>
  </si>
  <si>
    <t>C2_2</t>
  </si>
  <si>
    <t>C2_3</t>
  </si>
  <si>
    <t>C2_4</t>
  </si>
  <si>
    <t>C2_5</t>
  </si>
  <si>
    <t>C3</t>
  </si>
  <si>
    <t>C4</t>
  </si>
  <si>
    <t>C</t>
  </si>
  <si>
    <t>1.1 Mərkəzi bankların qiymətli kağızları</t>
  </si>
  <si>
    <t>A. Amortizasiya olunmuş dəyərdə kredit portfeli</t>
  </si>
  <si>
    <t>Cəmi</t>
  </si>
  <si>
    <t>Ümumi məbləğ</t>
  </si>
  <si>
    <t>Kreditlərin növləri</t>
  </si>
  <si>
    <t>CƏDVƏL A1</t>
  </si>
  <si>
    <t>B. Amortizasiya olunmuş dəyərdə kredit portfeli</t>
  </si>
  <si>
    <t>D</t>
  </si>
  <si>
    <t>D1</t>
  </si>
  <si>
    <t>D1_1</t>
  </si>
  <si>
    <t>D1_2</t>
  </si>
  <si>
    <t>D1_3</t>
  </si>
  <si>
    <t>D1_4</t>
  </si>
  <si>
    <t>D1_5</t>
  </si>
  <si>
    <t>D1_6</t>
  </si>
  <si>
    <t>D1_7</t>
  </si>
  <si>
    <t>D2</t>
  </si>
  <si>
    <t>D2_1</t>
  </si>
  <si>
    <t>D2_2</t>
  </si>
  <si>
    <t>D2_3</t>
  </si>
  <si>
    <t>D2_4</t>
  </si>
  <si>
    <t>D2_5</t>
  </si>
  <si>
    <t>D3</t>
  </si>
  <si>
    <t>D4</t>
  </si>
  <si>
    <t>E</t>
  </si>
  <si>
    <t>E1</t>
  </si>
  <si>
    <t>E1_1</t>
  </si>
  <si>
    <t>E1_2</t>
  </si>
  <si>
    <t>E1_3</t>
  </si>
  <si>
    <t>E1_4</t>
  </si>
  <si>
    <t>E1_5</t>
  </si>
  <si>
    <t>E1_6</t>
  </si>
  <si>
    <t>E1_7</t>
  </si>
  <si>
    <t>E2</t>
  </si>
  <si>
    <t>E2_1</t>
  </si>
  <si>
    <t>E2_2</t>
  </si>
  <si>
    <t>E2_3</t>
  </si>
  <si>
    <t>E2_4</t>
  </si>
  <si>
    <t>E2_5</t>
  </si>
  <si>
    <t>E3</t>
  </si>
  <si>
    <t>E4</t>
  </si>
  <si>
    <t>F</t>
  </si>
  <si>
    <t>F1</t>
  </si>
  <si>
    <t>F1_1</t>
  </si>
  <si>
    <t>F1_2</t>
  </si>
  <si>
    <t>F1_3</t>
  </si>
  <si>
    <t>F1_4</t>
  </si>
  <si>
    <t>F1_5</t>
  </si>
  <si>
    <t>F1_6</t>
  </si>
  <si>
    <t>F1_7</t>
  </si>
  <si>
    <t>F2</t>
  </si>
  <si>
    <t>F2_1</t>
  </si>
  <si>
    <t>F2_2</t>
  </si>
  <si>
    <t>F2_3</t>
  </si>
  <si>
    <t>F2_4</t>
  </si>
  <si>
    <t>F2_5</t>
  </si>
  <si>
    <t>F3</t>
  </si>
  <si>
    <t>F4</t>
  </si>
  <si>
    <t>Balans maddələri</t>
  </si>
  <si>
    <t>1. Amortizasiya olunmuş dəyərlə qiymətli kağızlar</t>
  </si>
  <si>
    <t>A. Qiymətli kağızlar portfeli</t>
  </si>
  <si>
    <t>A1_3_1</t>
  </si>
  <si>
    <t>A1_3_2</t>
  </si>
  <si>
    <t>A1_4_1</t>
  </si>
  <si>
    <t>A1_4_2</t>
  </si>
  <si>
    <t>A2_3_1</t>
  </si>
  <si>
    <t>A2_3_2</t>
  </si>
  <si>
    <t>A2_4_1</t>
  </si>
  <si>
    <t>A2_4_2</t>
  </si>
  <si>
    <t>A3_1</t>
  </si>
  <si>
    <t>A3_2</t>
  </si>
  <si>
    <t>A3_3</t>
  </si>
  <si>
    <t>A3_3_1</t>
  </si>
  <si>
    <t>A3_3_2</t>
  </si>
  <si>
    <t>A3_4</t>
  </si>
  <si>
    <t>A3_4_1</t>
  </si>
  <si>
    <t>A3_4_2</t>
  </si>
  <si>
    <t>B. Qiymətli kağızlar portfeli</t>
  </si>
  <si>
    <t>B1_3_1</t>
  </si>
  <si>
    <t>B1_3_2</t>
  </si>
  <si>
    <t>B1_4_1</t>
  </si>
  <si>
    <t>B1_4_2</t>
  </si>
  <si>
    <t>B2_3_1</t>
  </si>
  <si>
    <t>B2_3_2</t>
  </si>
  <si>
    <t>B2_4_1</t>
  </si>
  <si>
    <t>B2_4_2</t>
  </si>
  <si>
    <t>B3_1</t>
  </si>
  <si>
    <t>B3_2</t>
  </si>
  <si>
    <t>B3_3</t>
  </si>
  <si>
    <t>B3_3_1</t>
  </si>
  <si>
    <t>B3_3_2</t>
  </si>
  <si>
    <t>B3_4</t>
  </si>
  <si>
    <t>B3_4_1</t>
  </si>
  <si>
    <t>B3_4_2</t>
  </si>
  <si>
    <r>
      <t xml:space="preserve">Qiymətli kağızlar portfeli, </t>
    </r>
    <r>
      <rPr>
        <i/>
        <sz val="12"/>
        <color theme="1"/>
        <rFont val="Times New Roman"/>
        <family val="1"/>
      </rPr>
      <t>cəmi</t>
    </r>
  </si>
  <si>
    <t>4. Digər balansdankənar öhdəliklər</t>
  </si>
  <si>
    <t>1.3 Müddətli imtiyazlı səhmlərə investisiyalar</t>
  </si>
  <si>
    <t>1.3.1 Maliyyə sektoru</t>
  </si>
  <si>
    <t>1.3.2 Qeyri-maliyyə sektoru</t>
  </si>
  <si>
    <t>1.4 Digər borc öhdəlikləri</t>
  </si>
  <si>
    <t>1.4.1 Maliyyə sektoru</t>
  </si>
  <si>
    <t>1.4.2 Qeyri-maliyyə sektoru</t>
  </si>
  <si>
    <t>1.1 Kredit öhdəlikləri</t>
  </si>
  <si>
    <t>1.2 İstifadə olunmamış kredit xətləri</t>
  </si>
  <si>
    <t>2.1 Qarantiyalar</t>
  </si>
  <si>
    <t>2.2 Bu qəbildən olan digər öhdəliklər</t>
  </si>
  <si>
    <t>3.1 "Standby" akkreditivlər</t>
  </si>
  <si>
    <t>3.2 Sənədli akkreditivlər</t>
  </si>
  <si>
    <t>1. Kredit alətləri</t>
  </si>
  <si>
    <t>1.3 Digər öhdəliklər</t>
  </si>
  <si>
    <t>2. Qarantiyalar və bu qəbildən olan öhdəliklər</t>
  </si>
  <si>
    <t>3. Akkreditivlər</t>
  </si>
  <si>
    <r>
      <t xml:space="preserve">Balansdankənar maddələr, </t>
    </r>
    <r>
      <rPr>
        <i/>
        <sz val="12"/>
        <color theme="1"/>
        <rFont val="Times New Roman"/>
        <family val="1"/>
      </rPr>
      <t>cəmi</t>
    </r>
  </si>
  <si>
    <t>A. Balansdankənar öhdəliklər</t>
  </si>
  <si>
    <t>Balansdankənar maddələr</t>
  </si>
  <si>
    <t>B. Balansdankənar öhdəliklər</t>
  </si>
  <si>
    <t>Gözlənilən kredit zərəri</t>
  </si>
  <si>
    <t>1.1 "Nostro" hesabları</t>
  </si>
  <si>
    <t>a) Rezident banklar</t>
  </si>
  <si>
    <t>A1_1a</t>
  </si>
  <si>
    <t>b) Qeyri-rezident banklar</t>
  </si>
  <si>
    <t>A1_1b</t>
  </si>
  <si>
    <t>1.2 Banklararası bazarın qısamüddətli maliyyə alətləri (7 günədək)</t>
  </si>
  <si>
    <t xml:space="preserve">        a) Rezident banklar</t>
  </si>
  <si>
    <t>A1_2a</t>
  </si>
  <si>
    <t xml:space="preserve">        b) Qeyri-rezident banklar</t>
  </si>
  <si>
    <t>A1_2b</t>
  </si>
  <si>
    <t>1.3 Banklarda daxil olmaqla maliyyə institutlarındakı depozitlər üzrə</t>
  </si>
  <si>
    <t>1.3.1 Banklardakı depozitlər</t>
  </si>
  <si>
    <t>A1_3_1a</t>
  </si>
  <si>
    <t>A1_3_1b</t>
  </si>
  <si>
    <t>1.3.2 Digər maliyyə institutlarındakı depozitlər</t>
  </si>
  <si>
    <t>a) Rezident digər maliyyə institutlarında</t>
  </si>
  <si>
    <t>A1_3_2a</t>
  </si>
  <si>
    <t>b) Qeyri-rezident digər maliyyə institutlarında</t>
  </si>
  <si>
    <t>A1_3_2b</t>
  </si>
  <si>
    <t>1.4 Banklara verilmiş kreditlər</t>
  </si>
  <si>
    <t>a) Rezident banklara</t>
  </si>
  <si>
    <t>A1_4a</t>
  </si>
  <si>
    <t>b) Qeyri-rezident banklara</t>
  </si>
  <si>
    <t>A1_4b</t>
  </si>
  <si>
    <t xml:space="preserve">1.5 Digər maliyyə institutlarına kreditlər </t>
  </si>
  <si>
    <t>a) Rezident digər maliyyə institutlarına</t>
  </si>
  <si>
    <t>A1_5a</t>
  </si>
  <si>
    <t>b) Qeyri-rezident digər maliyyə institutlarına</t>
  </si>
  <si>
    <t>A1_5b</t>
  </si>
  <si>
    <t>B1_1b</t>
  </si>
  <si>
    <t>B1_2a</t>
  </si>
  <si>
    <t>B1_2b</t>
  </si>
  <si>
    <t>B1_3_1a</t>
  </si>
  <si>
    <t>B1_3_1b</t>
  </si>
  <si>
    <t>B1_3_2a</t>
  </si>
  <si>
    <t>B1_3_2b</t>
  </si>
  <si>
    <t>B1_4a</t>
  </si>
  <si>
    <t>B1_4b</t>
  </si>
  <si>
    <t>B1_5a</t>
  </si>
  <si>
    <t>B1_5b</t>
  </si>
  <si>
    <t>CƏDVƏL A4</t>
  </si>
  <si>
    <t>Aktivlər üzrə maddələr</t>
  </si>
  <si>
    <t xml:space="preserve">1.2 Hökumət xəzinədarlıq vekselləri və mərkəzi icra hakimiyyəti orqanlarının digər qiymətli kağızları </t>
  </si>
  <si>
    <t>2.4 Kredit kartları</t>
  </si>
  <si>
    <t>C. Digər məcmu gəlirdə ədalətli dəyərlə ölçülmüş kredit portfeli</t>
  </si>
  <si>
    <t>D. Digər məcmu gəlirdə ədalətli dəyərlə ölçülmüş kredit portfeli</t>
  </si>
  <si>
    <t>E. Mənfəət və ya zərər hesablarında ədalətli dəyərlə ölçülmüş kredit portfeli</t>
  </si>
  <si>
    <t>F. Mənfəət və ya zərər hesablarında ədalətli dəyərlə ölçülmüş kredit portfeli</t>
  </si>
  <si>
    <t>2. Digər məcmu gəlirdə ədalətli dəyərlə ölçülmüş qiymətli kağızlar</t>
  </si>
  <si>
    <t>3. Mənfəət və ya zərər hesablarında ədalətli dəyərlə ölçülmüş qiymətli kağızlar</t>
  </si>
  <si>
    <t>1.3 Səhmlər</t>
  </si>
  <si>
    <t>(bütün kreditlər, xarici valyutada kreditlər də daxil olmaqla)</t>
  </si>
  <si>
    <t>(xarici valyutada)</t>
  </si>
  <si>
    <t>(bütün qiymətli kağızlar, xarici valyutada qiymətli kağızlar daxil olmaqla)</t>
  </si>
  <si>
    <t>(bütün balansdankənar maddələr, xarici valyutada balansdankənar maddələr daxil olmaqla)</t>
  </si>
  <si>
    <t>(bütün aktivlər, xarici valyutada aktivlər də daxil olmaqla)</t>
  </si>
  <si>
    <t xml:space="preserve">(xarici valyutada) </t>
  </si>
  <si>
    <t>B1_1a</t>
  </si>
  <si>
    <t>CƏDVƏL A2</t>
  </si>
  <si>
    <t>CƏDVƏL A3</t>
  </si>
  <si>
    <t>Silinmiş kreditlər</t>
  </si>
  <si>
    <t>Dövr ərzində verilmiş</t>
  </si>
  <si>
    <t xml:space="preserve">Dövr ərzində ödənilmiş </t>
  </si>
  <si>
    <t>Qaytarılmış kreditlər (əvvəllər silinmiş kreditlər üzrə)</t>
  </si>
  <si>
    <t>CƏDVƏL A1.1</t>
  </si>
  <si>
    <t>A1. Kredit portfelinin qalığının mərhələlərarası dəyişməsinə dair</t>
  </si>
  <si>
    <t>Mərhələ 1-ə köçürmə</t>
  </si>
  <si>
    <t>Mərhələ 2-ə köçürmə</t>
  </si>
  <si>
    <t>Mərhələ 3-ə köçürmə</t>
  </si>
  <si>
    <t>A1.1</t>
  </si>
  <si>
    <t>A1.1_1</t>
  </si>
  <si>
    <t>A1.1_2</t>
  </si>
  <si>
    <t>A1.1_3</t>
  </si>
  <si>
    <t>A1.1_4</t>
  </si>
  <si>
    <t>A1.1_5</t>
  </si>
  <si>
    <t>A1.1_6</t>
  </si>
  <si>
    <t>A1.1_7</t>
  </si>
  <si>
    <t>A1.1_8</t>
  </si>
  <si>
    <t>A1.1_9</t>
  </si>
  <si>
    <t>A1.2</t>
  </si>
  <si>
    <t>A1.2_1</t>
  </si>
  <si>
    <t>A1.2_2</t>
  </si>
  <si>
    <t>A1.2_3</t>
  </si>
  <si>
    <t>A1.2_4</t>
  </si>
  <si>
    <t>A1.2_5</t>
  </si>
  <si>
    <t>A1.2_6</t>
  </si>
  <si>
    <t>A1.2_7</t>
  </si>
  <si>
    <t>A1.2_8</t>
  </si>
  <si>
    <t>A1.2_9</t>
  </si>
  <si>
    <t>A1.3</t>
  </si>
  <si>
    <t>A1.3_1</t>
  </si>
  <si>
    <t>A1.3_2</t>
  </si>
  <si>
    <t>A1.3_3</t>
  </si>
  <si>
    <t>A1.3_4</t>
  </si>
  <si>
    <t>A1.3_5</t>
  </si>
  <si>
    <t>A1.3_6</t>
  </si>
  <si>
    <t>A1.3_7</t>
  </si>
  <si>
    <t>A1.3_8</t>
  </si>
  <si>
    <t>A1.3_9</t>
  </si>
  <si>
    <t>A1.4</t>
  </si>
  <si>
    <t>A1.4_1</t>
  </si>
  <si>
    <t>A1.4_2</t>
  </si>
  <si>
    <t>A1.4_3</t>
  </si>
  <si>
    <t>A1.4_4</t>
  </si>
  <si>
    <t>A1.4_5</t>
  </si>
  <si>
    <t>A1.4_6</t>
  </si>
  <si>
    <t>A1.4_7</t>
  </si>
  <si>
    <t>A1.4_8</t>
  </si>
  <si>
    <t>A1.4_9</t>
  </si>
  <si>
    <t>A2.1</t>
  </si>
  <si>
    <t>A2.1_1</t>
  </si>
  <si>
    <t>A2.1_2</t>
  </si>
  <si>
    <t>A2.2</t>
  </si>
  <si>
    <t>A2.3</t>
  </si>
  <si>
    <t>A2.4</t>
  </si>
  <si>
    <t>CƏDVƏL A2.1</t>
  </si>
  <si>
    <t>(bütün Qiymətli kağızlar, xarici valyutada Qiymətli kağızlar da daxil olmaqla)</t>
  </si>
  <si>
    <t>Qeyd: Mərhələ 1, mərhələ 2, mərhələ 3-ə köçürmələrdə aidiyyəti xanalar "mənfi" ilə doldurulmalıdır</t>
  </si>
  <si>
    <t>A1. Balansdankənar öhdəliklərin qalığının mərhələlərarası dəyişməsinə dair</t>
  </si>
  <si>
    <t>(bütün banklararası tələblər, xarici valyutada banklararası tələblər daxil olmaqla)</t>
  </si>
  <si>
    <t>Banklararası tələblər</t>
  </si>
  <si>
    <t>Dövr ərzində yerləşdirilmiş</t>
  </si>
  <si>
    <t>Cari ilin əvvəlinə qalıq</t>
  </si>
  <si>
    <t>Hesabat tarixinə qalıq</t>
  </si>
  <si>
    <t>CƏDVƏL A3.1</t>
  </si>
  <si>
    <t>Biznes kreditləri</t>
  </si>
  <si>
    <t>Vaxtı keçmiş günlər</t>
  </si>
  <si>
    <t>1-30 gün</t>
  </si>
  <si>
    <t>31-90 gün</t>
  </si>
  <si>
    <t>Cari</t>
  </si>
  <si>
    <t>İstehlak kreditləri</t>
  </si>
  <si>
    <t>Daşınmaz əmlak kreditləri</t>
  </si>
  <si>
    <t>Digər kreditlər</t>
  </si>
  <si>
    <r>
      <t>Qiymətli kağızlar portfeli</t>
    </r>
    <r>
      <rPr>
        <i/>
        <sz val="12"/>
        <color theme="1"/>
        <rFont val="Times New Roman"/>
        <family val="1"/>
      </rPr>
      <t>, cəmi</t>
    </r>
  </si>
  <si>
    <r>
      <t xml:space="preserve">Müştərilərə verilən kreditlər, </t>
    </r>
    <r>
      <rPr>
        <i/>
        <sz val="12"/>
        <color theme="1"/>
        <rFont val="Times New Roman"/>
        <family val="1"/>
      </rPr>
      <t>cəmi</t>
    </r>
  </si>
  <si>
    <t>CƏDVƏL A4.1</t>
  </si>
  <si>
    <r>
      <t>"Dövr ərzində verilmiş"</t>
    </r>
    <r>
      <rPr>
        <i/>
        <sz val="12"/>
        <color rgb="FF000000"/>
        <rFont val="Times New Roman"/>
        <family val="1"/>
      </rPr>
      <t xml:space="preserve"> sətirlər doldurularkən hesabat dövrü ərzində verilmiş kreditlər cari hesabat tarixinə hansı mərhələdirsə, ona uyğun mərhələ üzrə sütunlarda qeyd olunmalıdır.</t>
    </r>
  </si>
  <si>
    <t>Dövr ərzində ödənilmiş və ya satılmış</t>
  </si>
  <si>
    <t>Ədalətli dəyərdə dəyişiklik</t>
  </si>
  <si>
    <t>A1_8</t>
  </si>
  <si>
    <t>A1. Qiymətli kağızlar portfelinin qalığının mərhələlərarası dəyişməsinə dair</t>
  </si>
  <si>
    <t>A2.2_1</t>
  </si>
  <si>
    <t>A2.2_2</t>
  </si>
  <si>
    <t>A2.3_1</t>
  </si>
  <si>
    <t>A2.3_2</t>
  </si>
  <si>
    <t>A2.4_1</t>
  </si>
  <si>
    <t>A2.4_2</t>
  </si>
  <si>
    <t>Restrukturizasiya olunmuş portfel (2-ci sütundan)</t>
  </si>
  <si>
    <t>POCI</t>
  </si>
  <si>
    <t>Dövr ərzində əldə edilmiş və ya satınalınmış</t>
  </si>
  <si>
    <t>Restrukturizasiya olunmuş portfel üzrə (2-ci sütundan)</t>
  </si>
  <si>
    <t>Restrukturizasiya olunmuş portfel maliyyə çətinliyi ilə bağlı</t>
  </si>
  <si>
    <t>A2. Mərhələlər üzrə Gözlənilən kredit zərəri</t>
  </si>
  <si>
    <t xml:space="preserve">Dövr ərzində azalma </t>
  </si>
  <si>
    <t>A. Banklar və digər maliyyə institutlarına tələblər</t>
  </si>
  <si>
    <r>
      <t xml:space="preserve">Banklar və digər maliyyə institutlarına tələblər, </t>
    </r>
    <r>
      <rPr>
        <i/>
        <sz val="12"/>
        <color theme="1"/>
        <rFont val="Times New Roman"/>
        <family val="1"/>
      </rPr>
      <t>cəmi</t>
    </r>
  </si>
  <si>
    <t>B. Banklar və digər maliyyə institutlarına tələblər</t>
  </si>
  <si>
    <t>A1.Banklar və digər maliyyə institutlarına tələblərin mərhələlərarası dəyişməsinə dair</t>
  </si>
  <si>
    <t>Banklar və digər maliyyə institutlarına tələblər</t>
  </si>
  <si>
    <r>
      <t xml:space="preserve">Müştərilərə verilmiş kreditlər, </t>
    </r>
    <r>
      <rPr>
        <i/>
        <sz val="12"/>
        <color theme="1"/>
        <rFont val="Times New Roman"/>
        <family val="1"/>
      </rPr>
      <t>cəmi</t>
    </r>
  </si>
  <si>
    <t>90 gündən artıq</t>
  </si>
  <si>
    <t>B1.1</t>
  </si>
  <si>
    <t>B1.1_1</t>
  </si>
  <si>
    <t>B1.1_2</t>
  </si>
  <si>
    <t>B1.1_3</t>
  </si>
  <si>
    <t>B1.2</t>
  </si>
  <si>
    <t>B1.2_1</t>
  </si>
  <si>
    <t>B1.2_2</t>
  </si>
  <si>
    <t>B1.2_3</t>
  </si>
  <si>
    <t>B1.3</t>
  </si>
  <si>
    <t>B1.3_1</t>
  </si>
  <si>
    <t>B1.3_2</t>
  </si>
  <si>
    <t>B1.3_3</t>
  </si>
  <si>
    <t>B1.4</t>
  </si>
  <si>
    <t>B1.4_1</t>
  </si>
  <si>
    <t>B1.4_2</t>
  </si>
  <si>
    <t>B1.4_3</t>
  </si>
  <si>
    <t>CƏDVƏL A1.2</t>
  </si>
  <si>
    <t>A. Kredit portfelinin mərhələlər və gecikmə günləri üzrə bölgüsü</t>
  </si>
  <si>
    <t>B. Kredit portfelinin mərhələlər və gecikmə günləri üzrə bölgüsü</t>
  </si>
  <si>
    <t xml:space="preserve">Bu hesabat əvvəl təqdim edilmiş hesabatlardakı informasiyanın dəqiqləşdirilməsi məqsədi ilə təqdim edilir:  </t>
  </si>
  <si>
    <t>Bəli</t>
  </si>
  <si>
    <t>A5</t>
  </si>
  <si>
    <t>B5</t>
  </si>
  <si>
    <t>B6</t>
  </si>
  <si>
    <t>B7</t>
  </si>
  <si>
    <t>B8</t>
  </si>
  <si>
    <t>B9</t>
  </si>
  <si>
    <t>A11</t>
  </si>
  <si>
    <t>A21</t>
  </si>
  <si>
    <t>A31</t>
  </si>
  <si>
    <t>A41</t>
  </si>
  <si>
    <t>A6</t>
  </si>
  <si>
    <t>A7</t>
  </si>
  <si>
    <t>A8</t>
  </si>
  <si>
    <t>A9</t>
  </si>
  <si>
    <t>A10</t>
  </si>
  <si>
    <t>A12</t>
  </si>
  <si>
    <t>A13</t>
  </si>
  <si>
    <t>A14</t>
  </si>
  <si>
    <t>A15</t>
  </si>
  <si>
    <t>A16</t>
  </si>
  <si>
    <t>A17</t>
  </si>
  <si>
    <t>B11</t>
  </si>
  <si>
    <t>B21</t>
  </si>
  <si>
    <t>B10</t>
  </si>
  <si>
    <t>B12</t>
  </si>
  <si>
    <t>B13</t>
  </si>
  <si>
    <t>B14</t>
  </si>
  <si>
    <t>B15</t>
  </si>
  <si>
    <t>B16</t>
  </si>
  <si>
    <t>B17</t>
  </si>
  <si>
    <t>C11</t>
  </si>
  <si>
    <t>C5</t>
  </si>
  <si>
    <t>C6</t>
  </si>
  <si>
    <t>C7</t>
  </si>
  <si>
    <t>C8</t>
  </si>
  <si>
    <t>C9</t>
  </si>
  <si>
    <t>C10</t>
  </si>
  <si>
    <t>C12</t>
  </si>
  <si>
    <t>C13</t>
  </si>
  <si>
    <t>C14</t>
  </si>
  <si>
    <t>C15</t>
  </si>
  <si>
    <t>C16</t>
  </si>
  <si>
    <t>C17</t>
  </si>
  <si>
    <t>D11</t>
  </si>
  <si>
    <t>D5</t>
  </si>
  <si>
    <t>D6</t>
  </si>
  <si>
    <t>D7</t>
  </si>
  <si>
    <t>D8</t>
  </si>
  <si>
    <t>D9</t>
  </si>
  <si>
    <t>D10</t>
  </si>
  <si>
    <t>D12</t>
  </si>
  <si>
    <t>D13</t>
  </si>
  <si>
    <t>D14</t>
  </si>
  <si>
    <t>D15</t>
  </si>
  <si>
    <t>D16</t>
  </si>
  <si>
    <t>D17</t>
  </si>
  <si>
    <t>E11</t>
  </si>
  <si>
    <t>E5</t>
  </si>
  <si>
    <t>E6</t>
  </si>
  <si>
    <t>E7</t>
  </si>
  <si>
    <t>E8</t>
  </si>
  <si>
    <t>E9</t>
  </si>
  <si>
    <t>E10</t>
  </si>
  <si>
    <t>E12</t>
  </si>
  <si>
    <t>E13</t>
  </si>
  <si>
    <t>E14</t>
  </si>
  <si>
    <t>E15</t>
  </si>
  <si>
    <t>E16</t>
  </si>
  <si>
    <t>E17</t>
  </si>
  <si>
    <t>F11</t>
  </si>
  <si>
    <t>F5</t>
  </si>
  <si>
    <t>F6</t>
  </si>
  <si>
    <t>F7</t>
  </si>
  <si>
    <t>F8</t>
  </si>
  <si>
    <t>F9</t>
  </si>
  <si>
    <t>F10</t>
  </si>
  <si>
    <t>F12</t>
  </si>
  <si>
    <t>F13</t>
  </si>
  <si>
    <t>F14</t>
  </si>
  <si>
    <t>F15</t>
  </si>
  <si>
    <t>F16</t>
  </si>
  <si>
    <t>F17</t>
  </si>
  <si>
    <t>A18</t>
  </si>
  <si>
    <t>A19</t>
  </si>
  <si>
    <t>A20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</si>
  <si>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</si>
  <si>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</si>
  <si>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</si>
  <si>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</si>
  <si>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</si>
  <si>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</si>
  <si>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</si>
  <si>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</si>
  <si>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</si>
  <si>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</si>
  <si>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</si>
  <si>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</si>
  <si>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</si>
  <si>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</si>
  <si>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</si>
  <si>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</si>
  <si>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</si>
  <si>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</si>
  <si>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B18</t>
  </si>
  <si>
    <t>B19</t>
  </si>
  <si>
    <t>B20</t>
  </si>
  <si>
    <t>B22</t>
  </si>
  <si>
    <t>B23</t>
  </si>
  <si>
    <t>B24</t>
  </si>
  <si>
    <t>B25</t>
  </si>
  <si>
    <t>B26</t>
  </si>
  <si>
    <t>B27</t>
  </si>
  <si>
    <t>B28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</si>
</sst>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* #,##0.00_-;\-* #,##0.00_-;_-* &quot;-&quot;??_-;_-@_-"/>
    <numFmt numFmtId="165" formatCode="_-* #,##0.00_р_._-;\-* #,##0.00_р_._-;_-* &quot;-&quot;??_р_._-;_-@_-"/>
    <numFmt numFmtId="166" formatCode="_-* #,##0.00_-;\-* #,##0.00_-;_-* \-??_-;_-@_-"/>
  </numFmts>
  <fonts count="60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Segoe UI"/>
      <family val="2"/>
    </font>
    <font>
      <sz val="10"/>
      <color theme="1"/>
      <name val="Arial"/>
      <family val="2"/>
    </font>
    <font>
      <sz val="10"/>
      <name val="Arial"/>
      <family val="2"/>
      <charset val="16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u/>
      <sz val="10"/>
      <color indexed="12"/>
      <name val="Arial"/>
      <family val="2"/>
    </font>
    <font>
      <u/>
      <sz val="6.5"/>
      <color indexed="12"/>
      <name val="Arial"/>
      <family val="2"/>
    </font>
    <font>
      <b/>
      <sz val="11"/>
      <color indexed="8"/>
      <name val="Calibri"/>
      <family val="2"/>
    </font>
    <font>
      <sz val="11"/>
      <color indexed="60"/>
      <name val="Calibri"/>
      <family val="2"/>
    </font>
    <font>
      <sz val="10"/>
      <color theme="1"/>
      <name val="BdE Neue Helvetica 45 Light"/>
      <family val="2"/>
    </font>
    <font>
      <b/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i/>
      <sz val="12"/>
      <color theme="1"/>
      <name val="Times New Roman"/>
      <family val="1"/>
    </font>
    <font>
      <sz val="8"/>
      <name val="Calibri"/>
      <family val="2"/>
      <charset val="186"/>
      <scheme val="minor"/>
    </font>
    <font>
      <b/>
      <i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2"/>
      <color theme="0" tint="-0.34998626667073579"/>
      <name val="Calibri"/>
      <family val="2"/>
      <scheme val="minor"/>
    </font>
    <font>
      <sz val="12"/>
      <color theme="0"/>
      <name val="Times New Roman"/>
      <family val="1"/>
    </font>
    <font>
      <sz val="11"/>
      <color theme="0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</fills>
  <borders count="4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B2B2B2"/>
      </top>
      <bottom/>
      <diagonal/>
    </border>
    <border>
      <left/>
      <right/>
      <top/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2B2B2"/>
      </left>
      <right style="thin">
        <color theme="0" tint="-0.249977111117893"/>
      </right>
      <top style="thin">
        <color rgb="FFB2B2B2"/>
      </top>
      <bottom style="thin">
        <color rgb="FFB2B2B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rgb="FFB2B2B2"/>
      </bottom>
      <diagonal/>
    </border>
  </borders>
  <cellStyleXfs count="254">
    <xf numFmtId="0" fontId="0" fillId="0" borderId="0"/>
    <xf numFmtId="0" fontId="4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5" fillId="0" borderId="0"/>
    <xf numFmtId="0" fontId="3" fillId="2" borderId="1" applyNumberFormat="0" applyFont="0" applyAlignment="0" applyProtection="0"/>
    <xf numFmtId="0" fontId="6" fillId="3" borderId="0">
      <alignment vertical="center"/>
    </xf>
    <xf numFmtId="0" fontId="5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3" fillId="0" borderId="0"/>
    <xf numFmtId="0" fontId="5" fillId="0" borderId="0"/>
    <xf numFmtId="0" fontId="5" fillId="2" borderId="1" applyNumberFormat="0" applyFont="0" applyAlignment="0" applyProtection="0"/>
    <xf numFmtId="9" fontId="5" fillId="0" borderId="0" applyFont="0" applyFill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27" fillId="14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33" fillId="9" borderId="3" applyNumberFormat="0" applyAlignment="0" applyProtection="0"/>
    <xf numFmtId="0" fontId="28" fillId="6" borderId="0" applyNumberFormat="0" applyBorder="0" applyAlignment="0" applyProtection="0"/>
    <xf numFmtId="0" fontId="13" fillId="22" borderId="3" applyNumberFormat="0" applyAlignment="0" applyProtection="0"/>
    <xf numFmtId="0" fontId="13" fillId="22" borderId="3" applyNumberFormat="0" applyAlignment="0" applyProtection="0"/>
    <xf numFmtId="0" fontId="29" fillId="22" borderId="3" applyNumberFormat="0" applyAlignment="0" applyProtection="0"/>
    <xf numFmtId="0" fontId="30" fillId="23" borderId="4" applyNumberFormat="0" applyAlignment="0" applyProtection="0"/>
    <xf numFmtId="0" fontId="31" fillId="0" borderId="5" applyNumberFormat="0" applyFill="0" applyAlignment="0" applyProtection="0"/>
    <xf numFmtId="0" fontId="14" fillId="23" borderId="4" applyNumberFormat="0" applyAlignment="0" applyProtection="0"/>
    <xf numFmtId="0" fontId="14" fillId="23" borderId="4" applyNumberFormat="0" applyAlignment="0" applyProtection="0"/>
    <xf numFmtId="0" fontId="24" fillId="0" borderId="0" applyNumberFormat="0" applyFill="0" applyBorder="0" applyAlignment="0" applyProtection="0"/>
    <xf numFmtId="0" fontId="38" fillId="0" borderId="6" applyNumberFormat="0" applyFill="0" applyAlignment="0" applyProtection="0"/>
    <xf numFmtId="0" fontId="39" fillId="0" borderId="7" applyNumberFormat="0" applyFill="0" applyAlignment="0" applyProtection="0"/>
    <xf numFmtId="0" fontId="32" fillId="0" borderId="8" applyNumberFormat="0" applyFill="0" applyAlignment="0" applyProtection="0"/>
    <xf numFmtId="0" fontId="32" fillId="0" borderId="0" applyNumberFormat="0" applyFill="0" applyBorder="0" applyAlignment="0" applyProtection="0"/>
    <xf numFmtId="0" fontId="30" fillId="23" borderId="4" applyNumberFormat="0" applyAlignment="0" applyProtection="0"/>
    <xf numFmtId="0" fontId="32" fillId="0" borderId="0" applyNumberFormat="0" applyFill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21" borderId="0" applyNumberFormat="0" applyBorder="0" applyAlignment="0" applyProtection="0"/>
    <xf numFmtId="0" fontId="33" fillId="9" borderId="3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3" fillId="24" borderId="2" applyNumberFormat="0" applyFont="0" applyBorder="0" applyProtection="0">
      <alignment horizontal="center" vertical="center"/>
    </xf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3" fontId="3" fillId="25" borderId="2" applyFont="0" applyProtection="0">
      <alignment horizontal="right" vertical="center"/>
    </xf>
    <xf numFmtId="0" fontId="3" fillId="25" borderId="9" applyNumberFormat="0" applyFont="0" applyBorder="0" applyProtection="0">
      <alignment horizontal="left"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31" fillId="0" borderId="5" applyNumberFormat="0" applyFill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34" fillId="5" borderId="0" applyNumberFormat="0" applyBorder="0" applyAlignment="0" applyProtection="0"/>
    <xf numFmtId="0" fontId="20" fillId="9" borderId="3" applyNumberFormat="0" applyAlignment="0" applyProtection="0"/>
    <xf numFmtId="0" fontId="20" fillId="9" borderId="3" applyNumberFormat="0" applyAlignment="0" applyProtection="0"/>
    <xf numFmtId="3" fontId="3" fillId="26" borderId="2" applyFont="0">
      <alignment horizontal="right" vertical="center"/>
      <protection locked="0"/>
    </xf>
    <xf numFmtId="0" fontId="3" fillId="27" borderId="10" applyNumberFormat="0" applyFont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21" borderId="0" applyNumberFormat="0" applyBorder="0" applyAlignment="0" applyProtection="0"/>
    <xf numFmtId="0" fontId="28" fillId="6" borderId="0" applyNumberFormat="0" applyBorder="0" applyAlignment="0" applyProtection="0"/>
    <xf numFmtId="0" fontId="35" fillId="22" borderId="11" applyNumberFormat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37" fillId="0" borderId="0" applyNumberFormat="0" applyFill="0" applyBorder="0" applyAlignment="0" applyProtection="0"/>
    <xf numFmtId="166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22" fillId="2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44" fillId="0" borderId="0"/>
    <xf numFmtId="0" fontId="3" fillId="0" borderId="0"/>
    <xf numFmtId="0" fontId="3" fillId="0" borderId="0"/>
    <xf numFmtId="0" fontId="9" fillId="0" borderId="0"/>
    <xf numFmtId="0" fontId="7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27" borderId="10" applyNumberFormat="0" applyFont="0" applyAlignment="0" applyProtection="0"/>
    <xf numFmtId="0" fontId="3" fillId="27" borderId="10" applyNumberFormat="0" applyFont="0" applyAlignment="0" applyProtection="0"/>
    <xf numFmtId="0" fontId="3" fillId="27" borderId="10" applyNumberFormat="0" applyFont="0" applyAlignment="0" applyProtection="0"/>
    <xf numFmtId="0" fontId="42" fillId="0" borderId="12" applyNumberFormat="0" applyFill="0" applyAlignment="0" applyProtection="0"/>
    <xf numFmtId="0" fontId="23" fillId="22" borderId="11" applyNumberFormat="0" applyAlignment="0" applyProtection="0"/>
    <xf numFmtId="0" fontId="23" fillId="22" borderId="11" applyNumberForma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34" fillId="5" borderId="0" applyNumberFormat="0" applyBorder="0" applyAlignment="0" applyProtection="0"/>
    <xf numFmtId="0" fontId="35" fillId="22" borderId="11" applyNumberFormat="0" applyAlignment="0" applyProtection="0"/>
    <xf numFmtId="0" fontId="43" fillId="28" borderId="0" applyNumberFormat="0" applyBorder="0" applyAlignment="0" applyProtection="0"/>
    <xf numFmtId="3" fontId="3" fillId="29" borderId="2" applyFont="0">
      <alignment horizontal="right" vertical="center"/>
    </xf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29" fillId="22" borderId="3" applyNumberFormat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8" fillId="0" borderId="6" applyNumberFormat="0" applyFill="0" applyAlignment="0" applyProtection="0"/>
    <xf numFmtId="0" fontId="39" fillId="0" borderId="7" applyNumberFormat="0" applyFill="0" applyAlignment="0" applyProtection="0"/>
    <xf numFmtId="0" fontId="32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" fillId="0" borderId="0"/>
    <xf numFmtId="0" fontId="2" fillId="0" borderId="0"/>
    <xf numFmtId="0" fontId="3" fillId="0" borderId="0"/>
    <xf numFmtId="0" fontId="1" fillId="0" borderId="0"/>
  </cellStyleXfs>
  <cellXfs count="216">
    <xf numFmtId="0" fontId="0" fillId="0" borderId="0" xfId="0"/>
    <xf numFmtId="0" fontId="48" fillId="30" borderId="2" xfId="5" applyFont="1" applyFill="1" applyBorder="1" applyAlignment="1">
      <alignment horizontal="center" vertical="center" wrapText="1"/>
    </xf>
    <xf numFmtId="0" fontId="45" fillId="30" borderId="2" xfId="5" applyFont="1" applyFill="1" applyBorder="1" applyAlignment="1">
      <alignment horizontal="center" vertical="center" wrapText="1"/>
    </xf>
    <xf numFmtId="4" fontId="48" fillId="31" borderId="2" xfId="4" applyNumberFormat="1" applyFont="1" applyFill="1" applyBorder="1" applyAlignment="1">
      <alignment horizontal="left" vertical="center" wrapText="1"/>
    </xf>
    <xf numFmtId="4" fontId="49" fillId="31" borderId="2" xfId="4" applyNumberFormat="1" applyFont="1" applyFill="1" applyBorder="1" applyAlignment="1">
      <alignment horizontal="left" vertical="center" wrapText="1" indent="1"/>
    </xf>
    <xf numFmtId="0" fontId="49" fillId="0" borderId="0" xfId="251" applyFont="1" applyAlignment="1">
      <alignment vertical="center"/>
    </xf>
    <xf numFmtId="4" fontId="49" fillId="31" borderId="2" xfId="4" applyNumberFormat="1" applyFont="1" applyFill="1" applyBorder="1" applyAlignment="1">
      <alignment horizontal="left" vertical="center" wrapText="1" indent="2"/>
    </xf>
    <xf numFmtId="0" fontId="48" fillId="29" borderId="0" xfId="252" applyFont="1" applyFill="1" applyAlignment="1">
      <alignment horizontal="center" vertical="center"/>
    </xf>
    <xf numFmtId="0" fontId="48" fillId="29" borderId="0" xfId="252" applyFont="1" applyFill="1" applyAlignment="1">
      <alignment vertical="center"/>
    </xf>
    <xf numFmtId="0" fontId="49" fillId="0" borderId="0" xfId="251" applyFont="1" applyAlignment="1">
      <alignment horizontal="center" vertical="center"/>
    </xf>
    <xf numFmtId="49" fontId="50" fillId="31" borderId="2" xfId="0" applyNumberFormat="1" applyFont="1" applyFill="1" applyBorder="1" applyAlignment="1">
      <alignment horizontal="center" vertical="center" wrapText="1"/>
    </xf>
    <xf numFmtId="0" fontId="50" fillId="31" borderId="18" xfId="0" applyFont="1" applyFill="1" applyBorder="1" applyAlignment="1">
      <alignment vertical="center" wrapText="1"/>
    </xf>
    <xf numFmtId="0" fontId="50" fillId="31" borderId="18" xfId="0" applyFont="1" applyFill="1" applyBorder="1" applyAlignment="1">
      <alignment horizontal="left" vertical="center" wrapText="1" indent="1"/>
    </xf>
    <xf numFmtId="0" fontId="50" fillId="31" borderId="18" xfId="0" applyFont="1" applyFill="1" applyBorder="1" applyAlignment="1">
      <alignment vertical="top" wrapText="1"/>
    </xf>
    <xf numFmtId="0" fontId="50" fillId="31" borderId="18" xfId="0" applyFont="1" applyFill="1" applyBorder="1" applyAlignment="1">
      <alignment horizontal="left" vertical="top" wrapText="1" indent="1"/>
    </xf>
    <xf numFmtId="0" fontId="50" fillId="31" borderId="2" xfId="0" applyFont="1" applyFill="1" applyBorder="1" applyAlignment="1">
      <alignment horizontal="left" vertical="center" indent="1"/>
    </xf>
    <xf numFmtId="0" fontId="50" fillId="31" borderId="2" xfId="0" applyFont="1" applyFill="1" applyBorder="1" applyAlignment="1">
      <alignment vertical="center" wrapText="1"/>
    </xf>
    <xf numFmtId="0" fontId="50" fillId="31" borderId="2" xfId="0" applyFont="1" applyFill="1" applyBorder="1" applyAlignment="1">
      <alignment horizontal="left" vertical="center" wrapText="1" indent="1"/>
    </xf>
    <xf numFmtId="0" fontId="49" fillId="0" borderId="0" xfId="0" applyFont="1"/>
    <xf numFmtId="14" fontId="50" fillId="0" borderId="0" xfId="5" applyNumberFormat="1" applyFont="1" applyFill="1" applyBorder="1" applyAlignment="1">
      <alignment vertical="center"/>
    </xf>
    <xf numFmtId="0" fontId="45" fillId="0" borderId="0" xfId="5" applyFont="1" applyFill="1" applyBorder="1" applyAlignment="1">
      <alignment vertical="center"/>
    </xf>
    <xf numFmtId="0" fontId="45" fillId="0" borderId="0" xfId="253" applyFont="1" applyAlignment="1">
      <alignment vertical="center"/>
    </xf>
    <xf numFmtId="14" fontId="50" fillId="0" borderId="0" xfId="253" applyNumberFormat="1" applyFont="1" applyAlignment="1">
      <alignment vertical="center"/>
    </xf>
    <xf numFmtId="0" fontId="48" fillId="30" borderId="2" xfId="253" applyFont="1" applyFill="1" applyBorder="1" applyAlignment="1">
      <alignment horizontal="center" vertical="center" wrapText="1"/>
    </xf>
    <xf numFmtId="0" fontId="45" fillId="30" borderId="2" xfId="253" applyFont="1" applyFill="1" applyBorder="1" applyAlignment="1">
      <alignment horizontal="center" vertical="center" wrapText="1"/>
    </xf>
    <xf numFmtId="0" fontId="50" fillId="31" borderId="2" xfId="0" applyFont="1" applyFill="1" applyBorder="1" applyAlignment="1">
      <alignment vertical="top" wrapText="1"/>
    </xf>
    <xf numFmtId="0" fontId="50" fillId="31" borderId="2" xfId="0" applyFont="1" applyFill="1" applyBorder="1" applyAlignment="1">
      <alignment horizontal="left" vertical="top" wrapText="1"/>
    </xf>
    <xf numFmtId="0" fontId="49" fillId="0" borderId="0" xfId="0" applyFont="1" applyAlignment="1">
      <alignment wrapText="1"/>
    </xf>
    <xf numFmtId="0" fontId="50" fillId="31" borderId="2" xfId="0" applyFont="1" applyFill="1" applyBorder="1" applyAlignment="1">
      <alignment horizontal="left" vertical="center" wrapText="1" indent="2"/>
    </xf>
    <xf numFmtId="0" fontId="50" fillId="31" borderId="2" xfId="0" applyFont="1" applyFill="1" applyBorder="1" applyAlignment="1">
      <alignment horizontal="left" vertical="center" wrapText="1" indent="3"/>
    </xf>
    <xf numFmtId="0" fontId="50" fillId="31" borderId="2" xfId="0" applyFont="1" applyFill="1" applyBorder="1" applyAlignment="1">
      <alignment horizontal="left" vertical="center" wrapText="1" indent="4"/>
    </xf>
    <xf numFmtId="0" fontId="51" fillId="0" borderId="0" xfId="5" applyFont="1" applyAlignment="1">
      <alignment vertical="center"/>
    </xf>
    <xf numFmtId="14" fontId="50" fillId="0" borderId="0" xfId="5" applyNumberFormat="1" applyFont="1" applyFill="1" applyBorder="1" applyAlignment="1">
      <alignment horizontal="center" vertical="center"/>
    </xf>
    <xf numFmtId="0" fontId="48" fillId="30" borderId="29" xfId="5" applyFont="1" applyFill="1" applyBorder="1" applyAlignment="1">
      <alignment horizontal="left" vertical="center"/>
    </xf>
    <xf numFmtId="0" fontId="49" fillId="30" borderId="29" xfId="5" applyFont="1" applyFill="1" applyBorder="1" applyAlignment="1">
      <alignment horizontal="left" vertical="center" indent="2"/>
    </xf>
    <xf numFmtId="0" fontId="49" fillId="30" borderId="28" xfId="5" applyFont="1" applyFill="1" applyBorder="1" applyAlignment="1">
      <alignment horizontal="center" vertical="center"/>
    </xf>
    <xf numFmtId="0" fontId="50" fillId="30" borderId="29" xfId="5" applyFont="1" applyFill="1" applyBorder="1" applyAlignment="1">
      <alignment horizontal="left" vertical="center" indent="2"/>
    </xf>
    <xf numFmtId="0" fontId="48" fillId="30" borderId="28" xfId="5" applyFont="1" applyFill="1" applyBorder="1" applyAlignment="1">
      <alignment horizontal="center" vertical="center"/>
    </xf>
    <xf numFmtId="0" fontId="53" fillId="0" borderId="0" xfId="0" applyFont="1" applyAlignment="1">
      <alignment vertical="center"/>
    </xf>
    <xf numFmtId="0" fontId="49" fillId="0" borderId="0" xfId="5" applyFont="1" applyAlignment="1">
      <alignment vertical="center"/>
    </xf>
    <xf numFmtId="0" fontId="49" fillId="0" borderId="0" xfId="5" applyFont="1" applyAlignment="1">
      <alignment horizontal="center" vertical="center"/>
    </xf>
    <xf numFmtId="0" fontId="48" fillId="30" borderId="2" xfId="5" applyFont="1" applyFill="1" applyBorder="1" applyAlignment="1">
      <alignment vertical="center"/>
    </xf>
    <xf numFmtId="0" fontId="49" fillId="30" borderId="2" xfId="5" applyFont="1" applyFill="1" applyBorder="1" applyAlignment="1">
      <alignment horizontal="left" vertical="center" indent="2"/>
    </xf>
    <xf numFmtId="0" fontId="49" fillId="30" borderId="2" xfId="5" applyFont="1" applyFill="1" applyBorder="1" applyAlignment="1">
      <alignment horizontal="center" vertical="center"/>
    </xf>
    <xf numFmtId="0" fontId="48" fillId="30" borderId="2" xfId="5" applyFont="1" applyFill="1" applyBorder="1" applyAlignment="1">
      <alignment vertical="center" wrapText="1"/>
    </xf>
    <xf numFmtId="0" fontId="45" fillId="2" borderId="1" xfId="6" applyNumberFormat="1" applyFont="1" applyAlignment="1" applyProtection="1">
      <alignment horizontal="left" vertical="center" indent="1"/>
    </xf>
    <xf numFmtId="0" fontId="48" fillId="30" borderId="2" xfId="5" applyFont="1" applyFill="1" applyBorder="1" applyAlignment="1">
      <alignment horizontal="center" vertical="center"/>
    </xf>
    <xf numFmtId="0" fontId="48" fillId="30" borderId="2" xfId="253" applyFont="1" applyFill="1" applyBorder="1" applyAlignment="1">
      <alignment horizontal="center" vertical="center"/>
    </xf>
    <xf numFmtId="0" fontId="48" fillId="30" borderId="2" xfId="5" applyFont="1" applyFill="1" applyBorder="1" applyAlignment="1">
      <alignment horizontal="center" vertical="center"/>
    </xf>
    <xf numFmtId="0" fontId="48" fillId="30" borderId="15" xfId="5" applyFont="1" applyFill="1" applyBorder="1" applyAlignment="1">
      <alignment horizontal="center" vertical="center"/>
    </xf>
    <xf numFmtId="0" fontId="48" fillId="30" borderId="28" xfId="5" applyFont="1" applyFill="1" applyBorder="1" applyAlignment="1">
      <alignment horizontal="center" vertical="center" wrapText="1"/>
    </xf>
    <xf numFmtId="0" fontId="49" fillId="0" borderId="0" xfId="5" applyFont="1"/>
    <xf numFmtId="0" fontId="49" fillId="0" borderId="0" xfId="5" applyFont="1" applyBorder="1" applyAlignment="1">
      <alignment vertical="center"/>
    </xf>
    <xf numFmtId="0" fontId="49" fillId="0" borderId="0" xfId="5" applyFont="1" applyBorder="1" applyAlignment="1">
      <alignment horizontal="center" vertical="center"/>
    </xf>
    <xf numFmtId="0" fontId="49" fillId="0" borderId="0" xfId="5" applyFont="1" applyFill="1" applyAlignment="1">
      <alignment vertical="center"/>
    </xf>
    <xf numFmtId="0" fontId="50" fillId="0" borderId="0" xfId="5" applyFont="1" applyAlignment="1">
      <alignment vertical="center"/>
    </xf>
    <xf numFmtId="0" fontId="49" fillId="0" borderId="0" xfId="5" applyFont="1" applyFill="1" applyBorder="1" applyAlignment="1">
      <alignment horizontal="left" vertical="center" indent="2"/>
    </xf>
    <xf numFmtId="0" fontId="49" fillId="0" borderId="0" xfId="5" applyFont="1" applyFill="1" applyBorder="1" applyAlignment="1">
      <alignment horizontal="center" vertical="center"/>
    </xf>
    <xf numFmtId="0" fontId="48" fillId="0" borderId="0" xfId="5" applyFont="1" applyFill="1" applyBorder="1" applyAlignment="1">
      <alignment horizontal="center" vertical="center"/>
    </xf>
    <xf numFmtId="0" fontId="49" fillId="0" borderId="0" xfId="5" applyFont="1" applyFill="1" applyAlignment="1">
      <alignment horizontal="center" vertical="center"/>
    </xf>
    <xf numFmtId="0" fontId="48" fillId="30" borderId="2" xfId="5" applyFont="1" applyFill="1" applyBorder="1" applyAlignment="1">
      <alignment horizontal="left" vertical="center"/>
    </xf>
    <xf numFmtId="0" fontId="46" fillId="30" borderId="2" xfId="5" applyFont="1" applyFill="1" applyBorder="1" applyAlignment="1">
      <alignment horizontal="center" vertical="center" wrapText="1"/>
    </xf>
    <xf numFmtId="0" fontId="49" fillId="30" borderId="2" xfId="5" applyFont="1" applyFill="1" applyBorder="1" applyAlignment="1">
      <alignment horizontal="left" vertical="center" wrapText="1" indent="2"/>
    </xf>
    <xf numFmtId="0" fontId="45" fillId="30" borderId="2" xfId="5" applyFont="1" applyFill="1" applyBorder="1" applyAlignment="1">
      <alignment vertical="center"/>
    </xf>
    <xf numFmtId="0" fontId="45" fillId="0" borderId="0" xfId="5" applyFont="1" applyFill="1" applyAlignment="1">
      <alignment vertical="center"/>
    </xf>
    <xf numFmtId="0" fontId="55" fillId="0" borderId="0" xfId="5" applyFont="1"/>
    <xf numFmtId="0" fontId="49" fillId="30" borderId="29" xfId="5" applyFont="1" applyFill="1" applyBorder="1" applyAlignment="1">
      <alignment horizontal="right" vertical="center" indent="2"/>
    </xf>
    <xf numFmtId="0" fontId="48" fillId="30" borderId="26" xfId="5" applyFont="1" applyFill="1" applyBorder="1" applyAlignment="1">
      <alignment vertical="center"/>
    </xf>
    <xf numFmtId="0" fontId="49" fillId="30" borderId="30" xfId="5" applyFont="1" applyFill="1" applyBorder="1" applyAlignment="1">
      <alignment horizontal="right" vertical="center" indent="2"/>
    </xf>
    <xf numFmtId="0" fontId="49" fillId="30" borderId="32" xfId="5" applyFont="1" applyFill="1" applyBorder="1" applyAlignment="1">
      <alignment horizontal="center" vertical="center"/>
    </xf>
    <xf numFmtId="0" fontId="46" fillId="3" borderId="1" xfId="6" applyNumberFormat="1" applyFont="1" applyFill="1" applyAlignment="1" applyProtection="1">
      <alignment horizontal="left" vertical="center" indent="1"/>
      <protection locked="0"/>
    </xf>
    <xf numFmtId="0" fontId="49" fillId="0" borderId="2" xfId="5" applyFont="1" applyBorder="1" applyAlignment="1" applyProtection="1">
      <alignment horizontal="center" vertical="center"/>
      <protection locked="0"/>
    </xf>
    <xf numFmtId="0" fontId="49" fillId="0" borderId="0" xfId="5" applyFont="1" applyBorder="1" applyAlignment="1" applyProtection="1">
      <alignment vertical="center"/>
    </xf>
    <xf numFmtId="0" fontId="49" fillId="0" borderId="0" xfId="5" applyFont="1" applyBorder="1" applyAlignment="1" applyProtection="1">
      <alignment horizontal="center" vertical="center"/>
    </xf>
    <xf numFmtId="0" fontId="49" fillId="0" borderId="0" xfId="5" applyFont="1" applyFill="1" applyAlignment="1" applyProtection="1">
      <alignment vertical="center"/>
    </xf>
    <xf numFmtId="0" fontId="50" fillId="0" borderId="0" xfId="5" applyFont="1" applyAlignment="1" applyProtection="1">
      <alignment vertical="center"/>
    </xf>
    <xf numFmtId="0" fontId="48" fillId="30" borderId="2" xfId="5" applyFont="1" applyFill="1" applyBorder="1" applyAlignment="1" applyProtection="1">
      <alignment horizontal="center" vertical="center" wrapText="1"/>
    </xf>
    <xf numFmtId="0" fontId="48" fillId="30" borderId="2" xfId="5" applyFont="1" applyFill="1" applyBorder="1" applyAlignment="1" applyProtection="1">
      <alignment horizontal="center" vertical="center"/>
    </xf>
    <xf numFmtId="0" fontId="45" fillId="30" borderId="2" xfId="5" applyFont="1" applyFill="1" applyBorder="1" applyAlignment="1" applyProtection="1">
      <alignment horizontal="center" vertical="center" wrapText="1"/>
    </xf>
    <xf numFmtId="0" fontId="49" fillId="0" borderId="0" xfId="5" applyFont="1" applyAlignment="1" applyProtection="1">
      <alignment vertical="center"/>
    </xf>
    <xf numFmtId="0" fontId="48" fillId="30" borderId="2" xfId="5" applyFont="1" applyFill="1" applyBorder="1" applyAlignment="1" applyProtection="1">
      <alignment horizontal="left" vertical="center"/>
    </xf>
    <xf numFmtId="0" fontId="48" fillId="30" borderId="2" xfId="5" applyFont="1" applyFill="1" applyBorder="1" applyAlignment="1" applyProtection="1">
      <alignment vertical="center"/>
    </xf>
    <xf numFmtId="0" fontId="49" fillId="30" borderId="2" xfId="5" applyFont="1" applyFill="1" applyBorder="1" applyAlignment="1" applyProtection="1">
      <alignment horizontal="left" vertical="center" indent="2"/>
    </xf>
    <xf numFmtId="0" fontId="49" fillId="30" borderId="2" xfId="5" applyFont="1" applyFill="1" applyBorder="1" applyAlignment="1" applyProtection="1">
      <alignment horizontal="center" vertical="center"/>
    </xf>
    <xf numFmtId="0" fontId="45" fillId="30" borderId="2" xfId="5" applyFont="1" applyFill="1" applyBorder="1" applyAlignment="1" applyProtection="1">
      <alignment vertical="center"/>
    </xf>
    <xf numFmtId="0" fontId="45" fillId="0" borderId="0" xfId="5" applyFont="1" applyFill="1" applyBorder="1" applyAlignment="1" applyProtection="1">
      <alignment vertical="center"/>
    </xf>
    <xf numFmtId="0" fontId="48" fillId="0" borderId="0" xfId="5" applyFont="1" applyFill="1" applyBorder="1" applyAlignment="1" applyProtection="1">
      <alignment horizontal="center" vertical="center"/>
    </xf>
    <xf numFmtId="0" fontId="49" fillId="0" borderId="0" xfId="5" applyFont="1" applyFill="1" applyBorder="1" applyAlignment="1" applyProtection="1">
      <alignment horizontal="center" vertical="center"/>
    </xf>
    <xf numFmtId="0" fontId="48" fillId="0" borderId="0" xfId="5" applyFont="1" applyAlignment="1" applyProtection="1">
      <alignment horizontal="center" vertical="center"/>
    </xf>
    <xf numFmtId="0" fontId="49" fillId="0" borderId="0" xfId="5" applyFont="1" applyAlignment="1" applyProtection="1">
      <alignment horizontal="center" vertical="center"/>
    </xf>
    <xf numFmtId="0" fontId="45" fillId="0" borderId="0" xfId="5" applyFont="1" applyFill="1" applyAlignment="1" applyProtection="1">
      <alignment vertical="center"/>
    </xf>
    <xf numFmtId="14" fontId="45" fillId="0" borderId="0" xfId="5" applyNumberFormat="1" applyFont="1" applyFill="1" applyBorder="1" applyAlignment="1" applyProtection="1">
      <alignment vertical="center"/>
    </xf>
    <xf numFmtId="14" fontId="50" fillId="0" borderId="0" xfId="5" applyNumberFormat="1" applyFont="1" applyFill="1" applyBorder="1" applyAlignment="1" applyProtection="1">
      <alignment horizontal="center" vertical="center"/>
    </xf>
    <xf numFmtId="0" fontId="49" fillId="30" borderId="2" xfId="5" applyFont="1" applyFill="1" applyBorder="1" applyAlignment="1" applyProtection="1">
      <alignment vertical="center"/>
    </xf>
    <xf numFmtId="0" fontId="45" fillId="2" borderId="16" xfId="6" applyNumberFormat="1" applyFont="1" applyBorder="1" applyAlignment="1" applyProtection="1">
      <alignment horizontal="left" vertical="center" indent="1"/>
    </xf>
    <xf numFmtId="0" fontId="46" fillId="3" borderId="1" xfId="6" applyNumberFormat="1" applyFont="1" applyFill="1" applyAlignment="1" applyProtection="1">
      <alignment vertical="center"/>
      <protection locked="0"/>
    </xf>
    <xf numFmtId="0" fontId="45" fillId="2" borderId="1" xfId="6" applyNumberFormat="1" applyFont="1" applyAlignment="1" applyProtection="1">
      <alignment vertical="center" wrapText="1"/>
    </xf>
    <xf numFmtId="0" fontId="47" fillId="2" borderId="1" xfId="6" applyNumberFormat="1" applyFont="1" applyAlignment="1" applyProtection="1">
      <alignment vertical="center"/>
    </xf>
    <xf numFmtId="0" fontId="46" fillId="3" borderId="0" xfId="6" applyNumberFormat="1" applyFont="1" applyFill="1" applyBorder="1" applyAlignment="1" applyProtection="1">
      <alignment vertical="center"/>
      <protection locked="0"/>
    </xf>
    <xf numFmtId="14" fontId="46" fillId="3" borderId="0" xfId="6" applyNumberFormat="1" applyFont="1" applyFill="1" applyBorder="1" applyAlignment="1" applyProtection="1">
      <alignment vertical="center"/>
      <protection locked="0"/>
    </xf>
    <xf numFmtId="0" fontId="46" fillId="3" borderId="42" xfId="6" applyNumberFormat="1" applyFont="1" applyFill="1" applyBorder="1" applyAlignment="1" applyProtection="1">
      <alignment vertical="center"/>
      <protection locked="0"/>
    </xf>
    <xf numFmtId="0" fontId="45" fillId="2" borderId="16" xfId="6" applyNumberFormat="1" applyFont="1" applyBorder="1" applyAlignment="1" applyProtection="1">
      <alignment vertical="center"/>
    </xf>
    <xf numFmtId="14" fontId="46" fillId="3" borderId="43" xfId="6" applyNumberFormat="1" applyFont="1" applyFill="1" applyBorder="1" applyAlignment="1" applyProtection="1">
      <alignment vertical="center"/>
      <protection locked="0"/>
    </xf>
    <xf numFmtId="0" fontId="45" fillId="3" borderId="41" xfId="6" applyNumberFormat="1" applyFont="1" applyFill="1" applyBorder="1" applyAlignment="1" applyProtection="1">
      <alignment vertical="center"/>
    </xf>
    <xf numFmtId="0" fontId="47" fillId="3" borderId="0" xfId="6" applyNumberFormat="1" applyFont="1" applyFill="1" applyBorder="1" applyAlignment="1" applyProtection="1">
      <alignment vertical="center"/>
    </xf>
    <xf numFmtId="0" fontId="47" fillId="3" borderId="44" xfId="6" applyNumberFormat="1" applyFont="1" applyFill="1" applyBorder="1" applyAlignment="1" applyProtection="1">
      <alignment vertical="center"/>
    </xf>
    <xf numFmtId="0" fontId="47" fillId="2" borderId="42" xfId="6" applyNumberFormat="1" applyFont="1" applyBorder="1" applyAlignment="1" applyProtection="1">
      <alignment vertical="center" wrapText="1"/>
    </xf>
    <xf numFmtId="0" fontId="45" fillId="3" borderId="42" xfId="6" applyNumberFormat="1" applyFont="1" applyFill="1" applyBorder="1" applyAlignment="1" applyProtection="1">
      <alignment vertical="center" wrapText="1"/>
    </xf>
    <xf numFmtId="0" fontId="47" fillId="3" borderId="42" xfId="6" applyNumberFormat="1" applyFont="1" applyFill="1" applyBorder="1" applyAlignment="1" applyProtection="1">
      <alignment vertical="center"/>
    </xf>
    <xf numFmtId="0" fontId="56" fillId="0" borderId="0" xfId="5" applyFont="1"/>
    <xf numFmtId="0" fontId="48" fillId="0" borderId="0" xfId="5" applyFont="1" applyBorder="1" applyAlignment="1" applyProtection="1">
      <alignment vertical="center"/>
    </xf>
    <xf numFmtId="0" fontId="58" fillId="0" borderId="0" xfId="0" applyFont="1"/>
    <xf numFmtId="0" fontId="57" fillId="0" borderId="0" xfId="5" applyFont="1" applyBorder="1" applyAlignment="1">
      <alignment vertical="center"/>
    </xf>
    <xf numFmtId="0" fontId="57" fillId="0" borderId="0" xfId="5" applyFont="1" applyFill="1" applyBorder="1" applyAlignment="1">
      <alignment vertical="center"/>
    </xf>
    <xf numFmtId="0" fontId="57" fillId="0" borderId="0" xfId="5" applyFont="1" applyBorder="1" applyAlignment="1">
      <alignment horizontal="center" vertical="center"/>
    </xf>
    <xf numFmtId="0" fontId="57" fillId="0" borderId="0" xfId="5" applyFont="1" applyAlignment="1">
      <alignment horizontal="center" vertical="center"/>
    </xf>
    <xf numFmtId="0" fontId="57" fillId="0" borderId="0" xfId="5" applyFont="1" applyFill="1" applyAlignment="1">
      <alignment horizontal="center" vertical="center"/>
    </xf>
    <xf numFmtId="0" fontId="57" fillId="0" borderId="0" xfId="5" applyFont="1" applyAlignment="1">
      <alignment vertical="center"/>
    </xf>
    <xf numFmtId="0" fontId="57" fillId="0" borderId="0" xfId="251" applyFont="1" applyAlignment="1">
      <alignment vertical="center"/>
    </xf>
    <xf numFmtId="0" fontId="48" fillId="30" borderId="9" xfId="5" applyFont="1" applyFill="1" applyBorder="1" applyAlignment="1">
      <alignment vertical="center"/>
    </xf>
    <xf numFmtId="0" fontId="48" fillId="30" borderId="22" xfId="5" applyFont="1" applyFill="1" applyBorder="1" applyAlignment="1">
      <alignment vertical="center"/>
    </xf>
    <xf numFmtId="0" fontId="48" fillId="30" borderId="15" xfId="5" applyFont="1" applyFill="1" applyBorder="1" applyAlignment="1">
      <alignment vertical="center"/>
    </xf>
    <xf numFmtId="0" fontId="58" fillId="0" borderId="0" xfId="0" applyFont="1" applyBorder="1"/>
    <xf numFmtId="0" fontId="57" fillId="0" borderId="0" xfId="0" applyFont="1"/>
    <xf numFmtId="2" fontId="48" fillId="30" borderId="9" xfId="5" applyNumberFormat="1" applyFont="1" applyFill="1" applyBorder="1" applyAlignment="1">
      <alignment vertical="center"/>
    </xf>
    <xf numFmtId="2" fontId="48" fillId="30" borderId="22" xfId="5" applyNumberFormat="1" applyFont="1" applyFill="1" applyBorder="1" applyAlignment="1">
      <alignment vertical="center"/>
    </xf>
    <xf numFmtId="2" fontId="48" fillId="30" borderId="15" xfId="5" applyNumberFormat="1" applyFont="1" applyFill="1" applyBorder="1" applyAlignment="1">
      <alignment vertical="center"/>
    </xf>
    <xf numFmtId="2" fontId="48" fillId="30" borderId="2" xfId="5" applyNumberFormat="1" applyFont="1" applyFill="1" applyBorder="1" applyAlignment="1">
      <alignment vertical="center"/>
    </xf>
    <xf numFmtId="2" fontId="45" fillId="30" borderId="9" xfId="5" applyNumberFormat="1" applyFont="1" applyFill="1" applyBorder="1" applyAlignment="1">
      <alignment vertical="center"/>
    </xf>
    <xf numFmtId="2" fontId="45" fillId="30" borderId="22" xfId="5" applyNumberFormat="1" applyFont="1" applyFill="1" applyBorder="1" applyAlignment="1">
      <alignment vertical="center"/>
    </xf>
    <xf numFmtId="2" fontId="45" fillId="30" borderId="15" xfId="5" applyNumberFormat="1" applyFont="1" applyFill="1" applyBorder="1" applyAlignment="1">
      <alignment vertical="center"/>
    </xf>
    <xf numFmtId="0" fontId="49" fillId="0" borderId="0" xfId="5" applyFont="1" applyFill="1" applyBorder="1" applyAlignment="1" applyProtection="1">
      <alignment vertical="center"/>
    </xf>
    <xf numFmtId="0" fontId="59" fillId="0" borderId="0" xfId="0" applyFont="1"/>
    <xf numFmtId="0" fontId="46" fillId="3" borderId="0" xfId="6" applyNumberFormat="1" applyFont="1" applyFill="1" applyBorder="1" applyAlignment="1" applyProtection="1">
      <alignment vertical="center"/>
    </xf>
    <xf numFmtId="0" fontId="50" fillId="0" borderId="25" xfId="250" applyFont="1" applyBorder="1" applyAlignment="1">
      <alignment horizontal="center" vertical="center"/>
    </xf>
    <xf numFmtId="0" fontId="45" fillId="0" borderId="25" xfId="250" applyFont="1" applyBorder="1" applyAlignment="1">
      <alignment horizontal="center" vertical="center"/>
    </xf>
    <xf numFmtId="0" fontId="45" fillId="2" borderId="1" xfId="6" applyNumberFormat="1" applyFont="1" applyAlignment="1" applyProtection="1">
      <alignment horizontal="center" vertical="center" wrapText="1"/>
    </xf>
    <xf numFmtId="0" fontId="45" fillId="2" borderId="1" xfId="6" applyNumberFormat="1" applyFont="1" applyAlignment="1" applyProtection="1">
      <alignment horizontal="center" vertical="center"/>
    </xf>
    <xf numFmtId="0" fontId="46" fillId="0" borderId="25" xfId="250" applyFont="1" applyBorder="1" applyAlignment="1">
      <alignment horizontal="center" vertical="center"/>
    </xf>
    <xf numFmtId="0" fontId="46" fillId="0" borderId="23" xfId="250" applyFont="1" applyBorder="1" applyAlignment="1">
      <alignment horizontal="center" vertical="center"/>
    </xf>
    <xf numFmtId="0" fontId="47" fillId="0" borderId="25" xfId="250" applyFont="1" applyBorder="1" applyAlignment="1">
      <alignment horizontal="center" vertical="center"/>
    </xf>
    <xf numFmtId="0" fontId="46" fillId="0" borderId="24" xfId="250" applyFont="1" applyBorder="1" applyAlignment="1">
      <alignment horizontal="center" vertical="center"/>
    </xf>
    <xf numFmtId="0" fontId="47" fillId="2" borderId="1" xfId="6" applyNumberFormat="1" applyFont="1" applyAlignment="1" applyProtection="1">
      <alignment horizontal="left" vertical="center" wrapText="1" indent="1"/>
    </xf>
    <xf numFmtId="0" fontId="45" fillId="30" borderId="2" xfId="5" applyFont="1" applyFill="1" applyBorder="1" applyAlignment="1" applyProtection="1">
      <alignment horizontal="center" vertical="center"/>
    </xf>
    <xf numFmtId="0" fontId="45" fillId="30" borderId="2" xfId="6" applyNumberFormat="1" applyFont="1" applyFill="1" applyBorder="1" applyAlignment="1" applyProtection="1">
      <alignment horizontal="center" vertical="center"/>
    </xf>
    <xf numFmtId="0" fontId="48" fillId="30" borderId="2" xfId="5" applyFont="1" applyFill="1" applyBorder="1" applyAlignment="1" applyProtection="1">
      <alignment horizontal="center" vertical="center"/>
    </xf>
    <xf numFmtId="0" fontId="45" fillId="0" borderId="0" xfId="5" applyFont="1" applyFill="1" applyBorder="1" applyAlignment="1" applyProtection="1">
      <alignment horizontal="center" vertical="center"/>
    </xf>
    <xf numFmtId="0" fontId="45" fillId="0" borderId="0" xfId="5" applyFont="1" applyFill="1" applyAlignment="1" applyProtection="1">
      <alignment horizontal="center" vertical="center"/>
    </xf>
    <xf numFmtId="14" fontId="50" fillId="0" borderId="0" xfId="5" applyNumberFormat="1" applyFont="1" applyFill="1" applyBorder="1" applyAlignment="1" applyProtection="1">
      <alignment horizontal="right" vertical="center"/>
    </xf>
    <xf numFmtId="0" fontId="48" fillId="30" borderId="9" xfId="5" applyFont="1" applyFill="1" applyBorder="1" applyAlignment="1" applyProtection="1">
      <alignment horizontal="center" vertical="center"/>
    </xf>
    <xf numFmtId="0" fontId="48" fillId="30" borderId="15" xfId="5" applyFont="1" applyFill="1" applyBorder="1" applyAlignment="1" applyProtection="1">
      <alignment horizontal="center" vertical="center"/>
    </xf>
    <xf numFmtId="0" fontId="45" fillId="0" borderId="13" xfId="5" applyFont="1" applyFill="1" applyBorder="1" applyAlignment="1" applyProtection="1">
      <alignment horizontal="center" vertical="center"/>
    </xf>
    <xf numFmtId="14" fontId="50" fillId="0" borderId="13" xfId="5" applyNumberFormat="1" applyFont="1" applyFill="1" applyBorder="1" applyAlignment="1" applyProtection="1">
      <alignment horizontal="right" vertical="center"/>
    </xf>
    <xf numFmtId="0" fontId="45" fillId="0" borderId="0" xfId="5" applyFont="1" applyFill="1" applyBorder="1" applyAlignment="1" applyProtection="1">
      <alignment horizontal="center" vertical="center" wrapText="1"/>
    </xf>
    <xf numFmtId="0" fontId="45" fillId="0" borderId="0" xfId="5" applyFont="1" applyFill="1" applyBorder="1" applyAlignment="1">
      <alignment horizontal="center" vertical="center" wrapText="1"/>
    </xf>
    <xf numFmtId="0" fontId="45" fillId="0" borderId="0" xfId="5" applyFont="1" applyFill="1" applyBorder="1" applyAlignment="1">
      <alignment horizontal="center" vertical="center"/>
    </xf>
    <xf numFmtId="0" fontId="48" fillId="30" borderId="9" xfId="5" applyFont="1" applyFill="1" applyBorder="1" applyAlignment="1">
      <alignment horizontal="center" vertical="center"/>
    </xf>
    <xf numFmtId="0" fontId="48" fillId="30" borderId="15" xfId="5" applyFont="1" applyFill="1" applyBorder="1" applyAlignment="1">
      <alignment horizontal="center" vertical="center"/>
    </xf>
    <xf numFmtId="0" fontId="48" fillId="30" borderId="2" xfId="5" applyFont="1" applyFill="1" applyBorder="1" applyAlignment="1">
      <alignment horizontal="center" vertical="center"/>
    </xf>
    <xf numFmtId="0" fontId="48" fillId="30" borderId="33" xfId="5" applyFont="1" applyFill="1" applyBorder="1" applyAlignment="1">
      <alignment horizontal="center" vertical="center"/>
    </xf>
    <xf numFmtId="0" fontId="48" fillId="30" borderId="34" xfId="5" applyFont="1" applyFill="1" applyBorder="1" applyAlignment="1">
      <alignment horizontal="center" vertical="center"/>
    </xf>
    <xf numFmtId="0" fontId="45" fillId="0" borderId="0" xfId="5" applyFont="1" applyFill="1" applyAlignment="1">
      <alignment horizontal="center" vertical="center"/>
    </xf>
    <xf numFmtId="0" fontId="48" fillId="30" borderId="35" xfId="5" applyFont="1" applyFill="1" applyBorder="1" applyAlignment="1">
      <alignment horizontal="center" vertical="center"/>
    </xf>
    <xf numFmtId="0" fontId="48" fillId="30" borderId="36" xfId="5" applyFont="1" applyFill="1" applyBorder="1" applyAlignment="1">
      <alignment horizontal="center" vertical="center"/>
    </xf>
    <xf numFmtId="0" fontId="48" fillId="30" borderId="37" xfId="5" applyFont="1" applyFill="1" applyBorder="1" applyAlignment="1">
      <alignment horizontal="center" vertical="center"/>
    </xf>
    <xf numFmtId="0" fontId="48" fillId="30" borderId="38" xfId="5" applyFont="1" applyFill="1" applyBorder="1" applyAlignment="1">
      <alignment horizontal="center" vertical="center"/>
    </xf>
    <xf numFmtId="0" fontId="48" fillId="30" borderId="40" xfId="5" applyFont="1" applyFill="1" applyBorder="1" applyAlignment="1">
      <alignment horizontal="center" vertical="center"/>
    </xf>
    <xf numFmtId="0" fontId="45" fillId="30" borderId="26" xfId="6" applyNumberFormat="1" applyFont="1" applyFill="1" applyBorder="1" applyAlignment="1" applyProtection="1">
      <alignment horizontal="center" vertical="center"/>
    </xf>
    <xf numFmtId="0" fontId="45" fillId="30" borderId="27" xfId="6" applyNumberFormat="1" applyFont="1" applyFill="1" applyBorder="1" applyAlignment="1" applyProtection="1">
      <alignment horizontal="center" vertical="center"/>
    </xf>
    <xf numFmtId="4" fontId="48" fillId="31" borderId="2" xfId="4" applyNumberFormat="1" applyFont="1" applyFill="1" applyBorder="1" applyAlignment="1">
      <alignment horizontal="center" vertical="center" wrapText="1"/>
    </xf>
    <xf numFmtId="0" fontId="45" fillId="30" borderId="2" xfId="5" applyFont="1" applyFill="1" applyBorder="1" applyAlignment="1">
      <alignment horizontal="center" vertical="center"/>
    </xf>
    <xf numFmtId="0" fontId="48" fillId="29" borderId="0" xfId="252" applyFont="1" applyFill="1" applyAlignment="1">
      <alignment horizontal="center" vertical="center"/>
    </xf>
    <xf numFmtId="14" fontId="50" fillId="0" borderId="0" xfId="5" applyNumberFormat="1" applyFont="1" applyFill="1" applyBorder="1" applyAlignment="1">
      <alignment horizontal="right" vertical="center"/>
    </xf>
    <xf numFmtId="4" fontId="48" fillId="30" borderId="2" xfId="5" applyNumberFormat="1" applyFont="1" applyFill="1" applyBorder="1" applyAlignment="1">
      <alignment horizontal="center" vertical="center"/>
    </xf>
    <xf numFmtId="14" fontId="50" fillId="0" borderId="14" xfId="5" applyNumberFormat="1" applyFont="1" applyFill="1" applyBorder="1" applyAlignment="1">
      <alignment horizontal="right" vertical="center"/>
    </xf>
    <xf numFmtId="0" fontId="45" fillId="30" borderId="20" xfId="0" applyFont="1" applyFill="1" applyBorder="1" applyAlignment="1">
      <alignment horizontal="center" vertical="center" wrapText="1"/>
    </xf>
    <xf numFmtId="0" fontId="45" fillId="30" borderId="17" xfId="0" applyFont="1" applyFill="1" applyBorder="1" applyAlignment="1">
      <alignment horizontal="center" vertical="center" wrapText="1"/>
    </xf>
    <xf numFmtId="0" fontId="45" fillId="30" borderId="21" xfId="0" applyFont="1" applyFill="1" applyBorder="1" applyAlignment="1">
      <alignment horizontal="center" vertical="center" wrapText="1"/>
    </xf>
    <xf numFmtId="0" fontId="45" fillId="30" borderId="19" xfId="0" applyFont="1" applyFill="1" applyBorder="1" applyAlignment="1">
      <alignment horizontal="center" vertical="center" wrapText="1"/>
    </xf>
    <xf numFmtId="0" fontId="45" fillId="0" borderId="0" xfId="253" applyFont="1" applyAlignment="1">
      <alignment horizontal="center" vertical="center"/>
    </xf>
    <xf numFmtId="14" fontId="50" fillId="0" borderId="14" xfId="253" applyNumberFormat="1" applyFont="1" applyBorder="1" applyAlignment="1">
      <alignment horizontal="right" vertical="center"/>
    </xf>
    <xf numFmtId="0" fontId="45" fillId="30" borderId="2" xfId="0" applyFont="1" applyFill="1" applyBorder="1" applyAlignment="1">
      <alignment horizontal="center" vertical="center" wrapText="1"/>
    </xf>
    <xf numFmtId="0" fontId="45" fillId="30" borderId="2" xfId="253" applyFont="1" applyFill="1" applyBorder="1" applyAlignment="1">
      <alignment horizontal="center" vertical="center"/>
    </xf>
    <xf numFmtId="0" fontId="48" fillId="30" borderId="2" xfId="253" applyFont="1" applyFill="1" applyBorder="1" applyAlignment="1">
      <alignment horizontal="center" vertical="center"/>
    </xf>
    <xf numFmtId="2" fontId="48" fillId="30" borderId="2" xfId="5" applyNumberFormat="1" applyFont="1" applyFill="1" applyBorder="1" applyAlignment="1" applyProtection="1">
      <alignment horizontal="center" vertical="center"/>
    </xf>
    <xf numFmtId="2" fontId="49" fillId="30" borderId="2" xfId="5" applyNumberFormat="1" applyFont="1" applyFill="1" applyBorder="1" applyAlignment="1" applyProtection="1">
      <alignment horizontal="center" vertical="center"/>
    </xf>
    <xf numFmtId="2" fontId="49" fillId="0" borderId="2" xfId="5" applyNumberFormat="1" applyFont="1" applyBorder="1" applyAlignment="1" applyProtection="1">
      <alignment horizontal="center" vertical="center"/>
      <protection locked="0"/>
    </xf>
    <xf numFmtId="2" fontId="48" fillId="0" borderId="2" xfId="5" applyNumberFormat="1" applyFont="1" applyBorder="1" applyAlignment="1" applyProtection="1">
      <alignment horizontal="center" vertical="center"/>
      <protection locked="0"/>
    </xf>
    <xf numFmtId="2" fontId="48" fillId="30" borderId="2" xfId="5" applyNumberFormat="1" applyFont="1" applyFill="1" applyBorder="1" applyAlignment="1">
      <alignment horizontal="center" vertical="center"/>
    </xf>
    <xf numFmtId="2" fontId="49" fillId="30" borderId="2" xfId="5" applyNumberFormat="1" applyFont="1" applyFill="1" applyBorder="1" applyAlignment="1">
      <alignment horizontal="center" vertical="center"/>
    </xf>
    <xf numFmtId="2" fontId="49" fillId="0" borderId="2" xfId="5" applyNumberFormat="1" applyFont="1" applyFill="1" applyBorder="1" applyAlignment="1" applyProtection="1">
      <alignment horizontal="center" vertical="center"/>
      <protection locked="0"/>
    </xf>
    <xf numFmtId="2" fontId="48" fillId="0" borderId="2" xfId="5" applyNumberFormat="1" applyFont="1" applyFill="1" applyBorder="1" applyAlignment="1" applyProtection="1">
      <alignment horizontal="center" vertical="center"/>
      <protection locked="0"/>
    </xf>
    <xf numFmtId="2" fontId="48" fillId="30" borderId="9" xfId="5" applyNumberFormat="1" applyFont="1" applyFill="1" applyBorder="1" applyAlignment="1">
      <alignment horizontal="center" vertical="center"/>
    </xf>
    <xf numFmtId="2" fontId="48" fillId="30" borderId="22" xfId="5" applyNumberFormat="1" applyFont="1" applyFill="1" applyBorder="1" applyAlignment="1">
      <alignment horizontal="center" vertical="center"/>
    </xf>
    <xf numFmtId="2" fontId="48" fillId="30" borderId="15" xfId="5" applyNumberFormat="1" applyFont="1" applyFill="1" applyBorder="1" applyAlignment="1">
      <alignment horizontal="center" vertical="center"/>
    </xf>
    <xf numFmtId="2" fontId="50" fillId="30" borderId="2" xfId="5" applyNumberFormat="1" applyFont="1" applyFill="1" applyBorder="1" applyAlignment="1">
      <alignment horizontal="center" vertical="center"/>
    </xf>
    <xf numFmtId="2" fontId="50" fillId="0" borderId="2" xfId="5" applyNumberFormat="1" applyFont="1" applyBorder="1" applyAlignment="1" applyProtection="1">
      <alignment horizontal="center" vertical="center"/>
      <protection locked="0"/>
    </xf>
    <xf numFmtId="2" fontId="48" fillId="30" borderId="15" xfId="5" applyNumberFormat="1" applyFont="1" applyFill="1" applyBorder="1" applyAlignment="1">
      <alignment horizontal="center" vertical="center"/>
    </xf>
    <xf numFmtId="2" fontId="48" fillId="30" borderId="28" xfId="5" applyNumberFormat="1" applyFont="1" applyFill="1" applyBorder="1" applyAlignment="1">
      <alignment horizontal="center" vertical="center"/>
    </xf>
    <xf numFmtId="2" fontId="49" fillId="30" borderId="15" xfId="5" applyNumberFormat="1" applyFont="1" applyFill="1" applyBorder="1" applyAlignment="1">
      <alignment horizontal="center" vertical="center"/>
    </xf>
    <xf numFmtId="2" fontId="49" fillId="30" borderId="28" xfId="5" applyNumberFormat="1" applyFont="1" applyFill="1" applyBorder="1" applyAlignment="1">
      <alignment horizontal="center" vertical="center"/>
    </xf>
    <xf numFmtId="2" fontId="49" fillId="0" borderId="28" xfId="5" applyNumberFormat="1" applyFont="1" applyFill="1" applyBorder="1" applyAlignment="1" applyProtection="1">
      <alignment horizontal="center" vertical="center"/>
      <protection locked="0"/>
    </xf>
    <xf numFmtId="2" fontId="49" fillId="30" borderId="39" xfId="5" applyNumberFormat="1" applyFont="1" applyFill="1" applyBorder="1" applyAlignment="1">
      <alignment horizontal="center" vertical="center"/>
    </xf>
    <xf numFmtId="2" fontId="49" fillId="0" borderId="31" xfId="5" applyNumberFormat="1" applyFont="1" applyFill="1" applyBorder="1" applyAlignment="1" applyProtection="1">
      <alignment horizontal="center" vertical="center"/>
      <protection locked="0"/>
    </xf>
    <xf numFmtId="2" fontId="49" fillId="0" borderId="32" xfId="5" applyNumberFormat="1" applyFont="1" applyFill="1" applyBorder="1" applyAlignment="1" applyProtection="1">
      <alignment horizontal="center" vertical="center"/>
      <protection locked="0"/>
    </xf>
    <xf numFmtId="0" fontId="57" fillId="0" borderId="0" xfId="5" applyFont="1" applyFill="1" applyAlignment="1">
      <alignment vertical="center"/>
    </xf>
    <xf numFmtId="2" fontId="48" fillId="30" borderId="2" xfId="5" applyNumberFormat="1" applyFont="1" applyFill="1" applyBorder="1" applyAlignment="1">
      <alignment horizontal="center" vertical="center" wrapText="1"/>
    </xf>
    <xf numFmtId="2" fontId="48" fillId="30" borderId="2" xfId="251" applyNumberFormat="1" applyFont="1" applyFill="1" applyBorder="1" applyAlignment="1">
      <alignment horizontal="center" vertical="center"/>
    </xf>
    <xf numFmtId="2" fontId="49" fillId="30" borderId="2" xfId="251" applyNumberFormat="1" applyFont="1" applyFill="1" applyBorder="1" applyAlignment="1">
      <alignment horizontal="center" vertical="center"/>
    </xf>
    <xf numFmtId="2" fontId="49" fillId="0" borderId="2" xfId="251" applyNumberFormat="1" applyFont="1" applyBorder="1" applyAlignment="1" applyProtection="1">
      <alignment horizontal="center" vertical="center"/>
      <protection locked="0"/>
    </xf>
    <xf numFmtId="2" fontId="50" fillId="30" borderId="2" xfId="0" applyNumberFormat="1" applyFont="1" applyFill="1" applyBorder="1" applyAlignment="1">
      <alignment horizontal="center" vertical="center" wrapText="1"/>
    </xf>
    <xf numFmtId="2" fontId="50" fillId="31" borderId="2" xfId="0" applyNumberFormat="1" applyFont="1" applyFill="1" applyBorder="1" applyAlignment="1">
      <alignment horizontal="center" vertical="center" wrapText="1"/>
    </xf>
    <xf numFmtId="2" fontId="50" fillId="30" borderId="2" xfId="0" applyNumberFormat="1" applyFont="1" applyFill="1" applyBorder="1" applyAlignment="1" applyProtection="1">
      <alignment horizontal="center" vertical="center" wrapText="1"/>
      <protection locked="0"/>
    </xf>
    <xf numFmtId="2" fontId="50" fillId="0" borderId="2" xfId="0" applyNumberFormat="1" applyFont="1" applyBorder="1" applyAlignment="1" applyProtection="1">
      <alignment horizontal="center" vertical="center" wrapText="1"/>
      <protection locked="0"/>
    </xf>
    <xf numFmtId="2" fontId="49" fillId="0" borderId="2" xfId="0" applyNumberFormat="1" applyFont="1" applyBorder="1" applyAlignment="1" applyProtection="1">
      <alignment horizontal="center"/>
      <protection locked="0"/>
    </xf>
    <xf numFmtId="2" fontId="48" fillId="30" borderId="2" xfId="253" applyNumberFormat="1" applyFont="1" applyFill="1" applyBorder="1" applyAlignment="1">
      <alignment horizontal="center" vertical="center" wrapText="1"/>
    </xf>
  </cellXfs>
  <cellStyles count="254">
    <cellStyle name="20% - 1. jelölőszín" xfId="17" xr:uid="{5E888A72-585B-4239-B12D-C30A2216DBF0}"/>
    <cellStyle name="20% - 1. jelölőszín 2" xfId="18" xr:uid="{5BD78395-D7E4-4179-AB74-8BCEBE0048E3}"/>
    <cellStyle name="20% - 1. jelölőszín_20130128_ITS on reporting_Annex I_CA" xfId="19" xr:uid="{BA884F49-3B8D-410B-9FFE-150A04813AE1}"/>
    <cellStyle name="20% - 2. jelölőszín" xfId="20" xr:uid="{275D819B-6704-447C-985B-987D9451B9F2}"/>
    <cellStyle name="20% - 2. jelölőszín 2" xfId="21" xr:uid="{1C15469B-24D8-48F7-877E-A1E96CEE1406}"/>
    <cellStyle name="20% - 2. jelölőszín_20130128_ITS on reporting_Annex I_CA" xfId="22" xr:uid="{A7236F78-CB3B-4B97-9B44-C08C5611CCBD}"/>
    <cellStyle name="20% - 3. jelölőszín" xfId="23" xr:uid="{EDE495CF-A61C-4667-B61A-EA7B129D79F1}"/>
    <cellStyle name="20% - 3. jelölőszín 2" xfId="24" xr:uid="{13A0E69F-B087-4791-AC1D-6D20B1E58FCE}"/>
    <cellStyle name="20% - 3. jelölőszín_20130128_ITS on reporting_Annex I_CA" xfId="25" xr:uid="{749C52DD-6F9F-4AD9-8575-94412605112E}"/>
    <cellStyle name="20% - 4. jelölőszín" xfId="26" xr:uid="{EE218239-80B5-43C2-8FB5-A46FCB14A8CD}"/>
    <cellStyle name="20% - 4. jelölőszín 2" xfId="27" xr:uid="{1915C29F-1CF6-48F6-AA8F-5AD89E488EFF}"/>
    <cellStyle name="20% - 4. jelölőszín_20130128_ITS on reporting_Annex I_CA" xfId="28" xr:uid="{562400D9-1BA4-4E12-8891-2A620F04A55E}"/>
    <cellStyle name="20% - 5. jelölőszín" xfId="29" xr:uid="{BA771133-6CC2-4B4A-B32C-12B64488ECBD}"/>
    <cellStyle name="20% - 5. jelölőszín 2" xfId="30" xr:uid="{3A6FA3BD-CE4E-478A-967D-FAAAEB1E34F4}"/>
    <cellStyle name="20% - 5. jelölőszín_20130128_ITS on reporting_Annex I_CA" xfId="31" xr:uid="{AFF1C371-F8BD-4A2B-9C6F-FA2BD26A7689}"/>
    <cellStyle name="20% - 6. jelölőszín" xfId="32" xr:uid="{9E7E0C7D-1A68-4D12-9F5C-3346E402B614}"/>
    <cellStyle name="20% - 6. jelölőszín 2" xfId="33" xr:uid="{87477633-3003-44EE-BD2A-D548A312DE0E}"/>
    <cellStyle name="20% - 6. jelölőszín_20130128_ITS on reporting_Annex I_CA" xfId="34" xr:uid="{1B3D8ABB-C345-4AF6-8E56-25E56B5A256C}"/>
    <cellStyle name="20% - Accent1 2" xfId="36" xr:uid="{877E341E-9A69-4912-A216-4F498FF7967A}"/>
    <cellStyle name="20% - Accent1 3" xfId="35" xr:uid="{D70545A2-9367-4D41-B9FB-FAD532DB5314}"/>
    <cellStyle name="20% - Accent2 2" xfId="38" xr:uid="{4CFD03E3-E906-4322-BAFD-C76AA00040A8}"/>
    <cellStyle name="20% - Accent2 3" xfId="37" xr:uid="{E8AD01A7-B412-4B81-8993-0FF33E64AA23}"/>
    <cellStyle name="20% - Accent3 2" xfId="40" xr:uid="{BF4BBC60-0FB3-4B8C-84CC-6AD9D4C256AC}"/>
    <cellStyle name="20% - Accent3 3" xfId="39" xr:uid="{12FBACF2-680E-49A4-B43E-20067943755B}"/>
    <cellStyle name="20% - Accent4 2" xfId="42" xr:uid="{5BCE6D9D-E990-40CF-9F30-B27ED199A380}"/>
    <cellStyle name="20% - Accent4 3" xfId="41" xr:uid="{161BD213-238A-43E0-824F-04E73DB84567}"/>
    <cellStyle name="20% - Accent5 2" xfId="44" xr:uid="{22E1D3F9-D698-4AA8-9C7D-F308F6724604}"/>
    <cellStyle name="20% - Accent5 3" xfId="43" xr:uid="{5707C7A8-067E-43C4-9BBA-47E9102B9584}"/>
    <cellStyle name="20% - Accent6 2" xfId="46" xr:uid="{61A192F4-BDCF-46D8-AD7C-DFA6FAD63F6D}"/>
    <cellStyle name="20% - Accent6 3" xfId="45" xr:uid="{15A101E0-EC50-47E9-96E9-46158D67BE90}"/>
    <cellStyle name="20% - Énfasis1" xfId="47" xr:uid="{BC0605B8-0AC2-4292-B9ED-A5C62FC988A0}"/>
    <cellStyle name="20% - Énfasis2" xfId="48" xr:uid="{84CE7522-97B4-4534-A16D-597D6580AA3B}"/>
    <cellStyle name="20% - Énfasis3" xfId="49" xr:uid="{AB30F774-C20D-44B2-A730-82859B47413D}"/>
    <cellStyle name="20% - Énfasis4" xfId="50" xr:uid="{D5CEDBFD-AE67-46FE-B416-FD530DCBE1E4}"/>
    <cellStyle name="20% - Énfasis5" xfId="51" xr:uid="{6A3F4720-1966-4E1D-A4EC-F4F38BD536CF}"/>
    <cellStyle name="20% - Énfasis6" xfId="52" xr:uid="{9672CDCF-B6A8-4722-84E4-398C33040F5E}"/>
    <cellStyle name="40% - 1. jelölőszín" xfId="53" xr:uid="{85AE47E6-DD70-4FC2-BA64-64DD4433B939}"/>
    <cellStyle name="40% - 1. jelölőszín 2" xfId="54" xr:uid="{04AEBF53-01BD-42F8-842F-BCEEDE786551}"/>
    <cellStyle name="40% - 1. jelölőszín_20130128_ITS on reporting_Annex I_CA" xfId="55" xr:uid="{95382AF1-04E2-45FE-B219-A7A44EB0E697}"/>
    <cellStyle name="40% - 2. jelölőszín" xfId="56" xr:uid="{4B756B5D-4217-4E12-8C2A-FF8E560A26A2}"/>
    <cellStyle name="40% - 2. jelölőszín 2" xfId="57" xr:uid="{F0F570F2-B9B5-4DFD-BDEA-F258BECC98C4}"/>
    <cellStyle name="40% - 2. jelölőszín_20130128_ITS on reporting_Annex I_CA" xfId="58" xr:uid="{6D9EE219-7248-47A0-92DF-E4D083D8F274}"/>
    <cellStyle name="40% - 3. jelölőszín" xfId="59" xr:uid="{6BACA3D0-B1BA-4529-AC2C-87F568F52CC3}"/>
    <cellStyle name="40% - 3. jelölőszín 2" xfId="60" xr:uid="{71D39B72-7A8F-4F80-8466-123AEBD61B88}"/>
    <cellStyle name="40% - 3. jelölőszín_20130128_ITS on reporting_Annex I_CA" xfId="61" xr:uid="{08C1E561-A419-4EDF-B05B-A5C79084637E}"/>
    <cellStyle name="40% - 4. jelölőszín" xfId="62" xr:uid="{BC2E32E3-B53A-43AA-BA1E-0AA613C1BE7A}"/>
    <cellStyle name="40% - 4. jelölőszín 2" xfId="63" xr:uid="{296BC801-D586-4D90-A1AF-ACB25EC940D5}"/>
    <cellStyle name="40% - 4. jelölőszín_20130128_ITS on reporting_Annex I_CA" xfId="64" xr:uid="{949321A2-5F07-4F76-ADEA-1026C06DB288}"/>
    <cellStyle name="40% - 5. jelölőszín" xfId="65" xr:uid="{925BA942-2FE8-4DC4-B84A-A8D3CAA95AC3}"/>
    <cellStyle name="40% - 5. jelölőszín 2" xfId="66" xr:uid="{1704C016-B3B2-42C9-985C-D739E8E3149B}"/>
    <cellStyle name="40% - 5. jelölőszín_20130128_ITS on reporting_Annex I_CA" xfId="67" xr:uid="{AD068F8C-5A25-4855-A090-F7E610C2D8E4}"/>
    <cellStyle name="40% - 6. jelölőszín" xfId="68" xr:uid="{277682DC-C8B7-4CA8-910B-3C7A7B738F5A}"/>
    <cellStyle name="40% - 6. jelölőszín 2" xfId="69" xr:uid="{157C904C-F627-400C-9030-5C2CD8BE4F3A}"/>
    <cellStyle name="40% - 6. jelölőszín_20130128_ITS on reporting_Annex I_CA" xfId="70" xr:uid="{F86A13B6-A796-4316-990A-F9F30FED1160}"/>
    <cellStyle name="40% - Accent1 2" xfId="72" xr:uid="{23401B41-33F2-4F3A-9ED5-2819AE751F14}"/>
    <cellStyle name="40% - Accent1 3" xfId="71" xr:uid="{7EEAA62A-2423-4B7F-8636-E44711607E42}"/>
    <cellStyle name="40% - Accent2 2" xfId="74" xr:uid="{3EC24C8F-FA4D-40C0-9967-28276A70C520}"/>
    <cellStyle name="40% - Accent2 3" xfId="73" xr:uid="{68ED278C-76F4-4F54-8CA3-96DD0BE8476D}"/>
    <cellStyle name="40% - Accent3 2" xfId="76" xr:uid="{E6CC4E20-241B-4EB7-B455-F0D6EDA45B27}"/>
    <cellStyle name="40% - Accent3 3" xfId="75" xr:uid="{B22D5BA9-4679-4797-83DC-941209FEA266}"/>
    <cellStyle name="40% - Accent4 2" xfId="78" xr:uid="{0D92E438-4EE0-4F8C-80B7-7140EA65DDD0}"/>
    <cellStyle name="40% - Accent4 3" xfId="77" xr:uid="{D318B233-D831-4F48-B1BA-62EB12739094}"/>
    <cellStyle name="40% - Accent5 2" xfId="80" xr:uid="{DD9F4B67-BF03-4B6F-80DD-F4A5672894D4}"/>
    <cellStyle name="40% - Accent5 3" xfId="79" xr:uid="{EC9DCC28-9724-4816-9BB1-201844DA4E18}"/>
    <cellStyle name="40% - Accent6 2" xfId="82" xr:uid="{D701BB59-EC52-4F74-A1A1-1DEB687B7279}"/>
    <cellStyle name="40% - Accent6 3" xfId="81" xr:uid="{E4FB61EE-5875-44C0-96DA-FAC34DCF31F9}"/>
    <cellStyle name="40% - Énfasis1" xfId="83" xr:uid="{ACDA6A53-F131-4BA9-ABC0-67BC4C4D7B76}"/>
    <cellStyle name="40% - Énfasis2" xfId="84" xr:uid="{C5551A24-A5A8-4368-979D-524615101646}"/>
    <cellStyle name="40% - Énfasis3" xfId="85" xr:uid="{81659B0D-E4FC-456C-AAF3-23CD40730308}"/>
    <cellStyle name="40% - Énfasis4" xfId="86" xr:uid="{8B9DA1B0-F343-4DD0-85EF-A3F53A56EDA5}"/>
    <cellStyle name="40% - Énfasis5" xfId="87" xr:uid="{7CA686DE-AED4-4F90-B200-81B12C560559}"/>
    <cellStyle name="40% - Énfasis6" xfId="88" xr:uid="{8A4499F9-F79B-4D6C-A74D-9DBA38FA3050}"/>
    <cellStyle name="60% - 1. jelölőszín" xfId="89" xr:uid="{06FD35B8-069C-4664-AD49-9B82B516231F}"/>
    <cellStyle name="60% - 2. jelölőszín" xfId="90" xr:uid="{E92D9257-624D-4043-A48C-25BE979F9BD4}"/>
    <cellStyle name="60% - 3. jelölőszín" xfId="91" xr:uid="{7B66CD77-A574-412D-B9D6-5AF54CDA8D71}"/>
    <cellStyle name="60% - 4. jelölőszín" xfId="92" xr:uid="{6A58D279-D79B-4CE7-B3E5-8E856652C443}"/>
    <cellStyle name="60% - 5. jelölőszín" xfId="93" xr:uid="{3066F970-2C22-42FD-B751-1F7A38BB26BB}"/>
    <cellStyle name="60% - 6. jelölőszín" xfId="94" xr:uid="{056371CD-DAF6-4112-89A0-4F11C61F227F}"/>
    <cellStyle name="60% - Accent1 2" xfId="96" xr:uid="{37152DB8-1FEB-4A16-98A6-A4A196839A63}"/>
    <cellStyle name="60% - Accent1 3" xfId="95" xr:uid="{B3B5B05A-1F3A-4C32-9CB9-7C6BDD591FC8}"/>
    <cellStyle name="60% - Accent2 2" xfId="98" xr:uid="{5545D9FA-7D5C-4B1D-BFEC-259C8728C634}"/>
    <cellStyle name="60% - Accent2 3" xfId="97" xr:uid="{4EE120E4-2FEA-43E9-806F-F593A55E8640}"/>
    <cellStyle name="60% - Accent3 2" xfId="100" xr:uid="{6E70FD7B-3012-4FD4-8569-6C4B25FA3A57}"/>
    <cellStyle name="60% - Accent3 3" xfId="99" xr:uid="{9B55F1D9-DB12-4C3C-A691-67BF3103C9FE}"/>
    <cellStyle name="60% - Accent4 2" xfId="102" xr:uid="{560E048D-FB70-4BD5-BFCD-EDFFF1C22FF8}"/>
    <cellStyle name="60% - Accent4 3" xfId="101" xr:uid="{567C7B13-1DAA-4294-B847-154CEE4999E6}"/>
    <cellStyle name="60% - Accent5 2" xfId="104" xr:uid="{172380FB-66CA-47C4-9857-18457BF96C33}"/>
    <cellStyle name="60% - Accent5 3" xfId="103" xr:uid="{AA96EDD0-722B-4878-938E-B47F710FEA84}"/>
    <cellStyle name="60% - Accent6 2" xfId="106" xr:uid="{0F46D3E0-4EEA-45B2-B30D-48A08D45F317}"/>
    <cellStyle name="60% - Accent6 3" xfId="105" xr:uid="{285B4B9C-5B19-4ACF-BB3E-3ABF0D699776}"/>
    <cellStyle name="60% - Énfasis1" xfId="107" xr:uid="{82B2767A-344F-4908-9DD0-8690D9766316}"/>
    <cellStyle name="60% - Énfasis2" xfId="108" xr:uid="{F6CA2E63-DD0C-451D-8FDD-30F0FB6B36B5}"/>
    <cellStyle name="60% - Énfasis3" xfId="109" xr:uid="{533F3F14-5A50-42B5-8BFC-7D5A0710C501}"/>
    <cellStyle name="60% - Énfasis4" xfId="110" xr:uid="{31CFFDA9-BBBF-49CE-8E65-60AC4C28DAC0}"/>
    <cellStyle name="60% - Énfasis5" xfId="111" xr:uid="{43D08A67-3EC1-4F0E-8045-F8B756AF0EE0}"/>
    <cellStyle name="60% - Énfasis6" xfId="112" xr:uid="{A2599FF8-10FF-4699-987D-7B02CC8ABEAC}"/>
    <cellStyle name="Accent1 2" xfId="114" xr:uid="{677FEF25-F263-44C5-9BF7-2746684CA0F5}"/>
    <cellStyle name="Accent1 3" xfId="113" xr:uid="{ADCB37C5-4044-4431-9B17-6847E3B43315}"/>
    <cellStyle name="Accent2 2" xfId="116" xr:uid="{01A4C81E-ED12-4A91-9209-74B43D44AE5B}"/>
    <cellStyle name="Accent2 3" xfId="115" xr:uid="{BFED37EE-0292-4C62-9731-A10CD486D0F6}"/>
    <cellStyle name="Accent3 2" xfId="118" xr:uid="{AED38771-5634-4544-81B2-970880DD3782}"/>
    <cellStyle name="Accent3 3" xfId="117" xr:uid="{5F56752A-0F21-4D47-8D67-7881568CBB07}"/>
    <cellStyle name="Accent4 2" xfId="120" xr:uid="{8FC87C12-C4BE-45EF-8B10-D0DA8928C759}"/>
    <cellStyle name="Accent4 3" xfId="119" xr:uid="{3AFCF487-E1E2-40F0-A319-D6B5FDF49070}"/>
    <cellStyle name="Accent5 2" xfId="122" xr:uid="{05720B30-7A79-411B-B050-BB31B26C027A}"/>
    <cellStyle name="Accent5 3" xfId="121" xr:uid="{A2F12A1F-C20F-4AF4-A2F3-3DB46F734BB6}"/>
    <cellStyle name="Accent6 2" xfId="124" xr:uid="{D7525496-5EA3-4E78-8AD2-4131595AE986}"/>
    <cellStyle name="Accent6 3" xfId="123" xr:uid="{D27A860A-E1D3-4519-AE22-E349CC0AEAE0}"/>
    <cellStyle name="Bad 2" xfId="126" xr:uid="{E8079F1C-7181-487A-B73C-C09DE04623A1}"/>
    <cellStyle name="Bad 3" xfId="125" xr:uid="{DC59BA29-EBA8-4739-B454-1321CE947621}"/>
    <cellStyle name="Bevitel" xfId="127" xr:uid="{EEFAA7E8-6AC0-4068-B1DE-8FBB2FCC5929}"/>
    <cellStyle name="Buena" xfId="128" xr:uid="{FABCC73E-96DC-467E-9A2C-36448C5FA245}"/>
    <cellStyle name="Calculation 2" xfId="130" xr:uid="{8B366D08-1DF9-47EE-AE95-54BD5C2D9F0E}"/>
    <cellStyle name="Calculation 3" xfId="129" xr:uid="{0BA9B2E8-696B-4B48-BE30-CCC922D994A4}"/>
    <cellStyle name="Cálculo" xfId="131" xr:uid="{BB9B1299-EAF4-4E54-AC82-0FBE419939F9}"/>
    <cellStyle name="Celda de comprobación" xfId="132" xr:uid="{3DC6274F-CE74-4B34-B94D-482EA3E4EAB2}"/>
    <cellStyle name="Celda vinculada" xfId="133" xr:uid="{2F40E202-FFFA-42A9-920A-AF2DB65055B2}"/>
    <cellStyle name="Check Cell 2" xfId="135" xr:uid="{CE9AFE69-1F9C-4A51-A370-704A6A523FC3}"/>
    <cellStyle name="Check Cell 3" xfId="134" xr:uid="{1BEBEA43-076D-4F76-8EDB-701FD9C6C90F}"/>
    <cellStyle name="Cím" xfId="136" xr:uid="{975D8F48-E9A8-4DCF-B6DF-A1A746CA0FBA}"/>
    <cellStyle name="Címsor 1" xfId="137" xr:uid="{96E30CAE-D33E-4262-9BC0-DEAD8D930AC2}"/>
    <cellStyle name="Címsor 2" xfId="138" xr:uid="{BDCBEAE6-376E-4D14-A0BF-BEA4601C5569}"/>
    <cellStyle name="Címsor 3" xfId="139" xr:uid="{5A6B89F3-34E7-4257-BDD3-4D47C11B148F}"/>
    <cellStyle name="Címsor 4" xfId="140" xr:uid="{A14538A4-D6BF-4A42-90A8-081887B08CFE}"/>
    <cellStyle name="Comma 2" xfId="2" xr:uid="{752AFCF1-7344-44C4-B382-611026C9B370}"/>
    <cellStyle name="Ellenőrzőcella" xfId="141" xr:uid="{D7C82FF9-D92B-4692-AA82-2EECE0D94859}"/>
    <cellStyle name="Encabezado 4" xfId="142" xr:uid="{34160736-27D8-4A94-93C0-73E9EC6AF1CD}"/>
    <cellStyle name="Énfasis1" xfId="143" xr:uid="{23E3E609-6B4B-4BD6-8C77-8FB56BC0C214}"/>
    <cellStyle name="Énfasis2" xfId="144" xr:uid="{D33D7C6F-3F25-4D96-98BE-B79AA85CE40E}"/>
    <cellStyle name="Énfasis3" xfId="145" xr:uid="{58367E5D-BBFA-4773-98C1-C0FEF75BEFBB}"/>
    <cellStyle name="Énfasis4" xfId="146" xr:uid="{3A02424A-002A-4ED0-B790-E10E036C723F}"/>
    <cellStyle name="Énfasis5" xfId="147" xr:uid="{D6579C37-290D-444E-80B4-F07ECC82E7ED}"/>
    <cellStyle name="Énfasis6" xfId="148" xr:uid="{2C4EB130-6541-4036-A7FA-CD8FB414280C}"/>
    <cellStyle name="Entrada" xfId="149" xr:uid="{FF529D37-604C-4E6A-BEF6-F026C7D30FC6}"/>
    <cellStyle name="Explanatory Text 2" xfId="151" xr:uid="{C8FB6D69-CE82-4C76-956B-C0DC9BE57D63}"/>
    <cellStyle name="Explanatory Text 3" xfId="150" xr:uid="{07E8847E-DF31-4C31-BB5C-29240C5AE417}"/>
    <cellStyle name="Figyelmeztetés" xfId="152" xr:uid="{00F72359-B653-465E-8A2B-6F4DBBC9F6AB}"/>
    <cellStyle name="Good 2" xfId="154" xr:uid="{F314656D-9277-469D-A2BB-E6AFD1FD0F7B}"/>
    <cellStyle name="Good 3" xfId="153" xr:uid="{16FE654D-D4CA-47A7-968C-02850A9FB0E1}"/>
    <cellStyle name="greyed" xfId="155" xr:uid="{44505D6A-8BD8-4770-8860-3A678AC32D85}"/>
    <cellStyle name="Heading 1 2" xfId="157" xr:uid="{57507789-10DB-47A3-BBD6-D505B0992E09}"/>
    <cellStyle name="Heading 1 3" xfId="156" xr:uid="{CC2FBCCD-8727-4B8B-9FC9-26AE2903854A}"/>
    <cellStyle name="Heading 2 2" xfId="159" xr:uid="{CF4AD0E4-C7A1-48E2-8C9C-46AF303CE2F3}"/>
    <cellStyle name="Heading 2 3" xfId="158" xr:uid="{4407EA6D-967D-4390-A249-EEF2F9C7FA6C}"/>
    <cellStyle name="Heading 3 2" xfId="161" xr:uid="{0235F8BD-542B-47EB-930A-AD5E4DE0B40F}"/>
    <cellStyle name="Heading 3 3" xfId="160" xr:uid="{89461975-113B-4AF3-86F9-7844D9CE7DAD}"/>
    <cellStyle name="Heading 4 2" xfId="163" xr:uid="{29A4D1C5-B796-4041-B486-362305A7BCEB}"/>
    <cellStyle name="Heading 4 3" xfId="162" xr:uid="{BE95B507-47F0-4E32-80AD-304101EE404C}"/>
    <cellStyle name="highlightExposure" xfId="164" xr:uid="{96A440D7-CA4E-462A-A07A-0C500D5DA3E0}"/>
    <cellStyle name="highlightText" xfId="165" xr:uid="{5363CA0A-EC8F-4404-97E1-FF4673686BA0}"/>
    <cellStyle name="Hipervínculo 2" xfId="166" xr:uid="{3715A260-8526-4067-8874-F1C99E562494}"/>
    <cellStyle name="Hivatkozott cella" xfId="167" xr:uid="{35C368EA-2168-432E-A647-A8DD0F63AA9B}"/>
    <cellStyle name="Hyperlink 2" xfId="168" xr:uid="{AF3D744F-2A19-482A-8BEE-68F535A3E4E9}"/>
    <cellStyle name="Hyperlink 3" xfId="169" xr:uid="{B3503282-0B5B-4A93-8D9F-797B1C0175FA}"/>
    <cellStyle name="Hyperlink 3 2" xfId="170" xr:uid="{E7B1B357-578F-4E67-8667-6E97B702C68C}"/>
    <cellStyle name="Incorrecto" xfId="171" xr:uid="{214E9A4F-1E5A-45F9-AF45-B79090F0686B}"/>
    <cellStyle name="Input 2" xfId="173" xr:uid="{B9EA344F-BEA4-4E91-91D3-0EE5A044FFD4}"/>
    <cellStyle name="Input 3" xfId="172" xr:uid="{CA358D6A-DCC1-4621-949F-84E7FA2CE5F4}"/>
    <cellStyle name="inputExposure" xfId="174" xr:uid="{7A116BBF-3EC8-49DA-9CFB-69AC92759F68}"/>
    <cellStyle name="Jegyzet" xfId="175" xr:uid="{D493AA30-7C4C-461C-8A2B-D5B9173C8C9D}"/>
    <cellStyle name="Jelölőszín (1)" xfId="176" xr:uid="{1BB8BCE2-C8B3-4A2F-BA60-E7A5156E1295}"/>
    <cellStyle name="Jelölőszín (2)" xfId="177" xr:uid="{0395C461-E282-4531-8801-EA35BE2FDDD8}"/>
    <cellStyle name="Jelölőszín (3)" xfId="178" xr:uid="{1F66B29F-FEDF-4817-8B46-DEE9E9BD5C09}"/>
    <cellStyle name="Jelölőszín (4)" xfId="179" xr:uid="{94CACF03-ED48-4C7A-A4DC-EECAC23979B1}"/>
    <cellStyle name="Jelölőszín (5)" xfId="180" xr:uid="{2F8B6148-1C7A-4CEC-A0D2-89CE7E46AD54}"/>
    <cellStyle name="Jelölőszín (6)" xfId="181" xr:uid="{7B54F4DC-8D94-4323-A849-6661076D0DEE}"/>
    <cellStyle name="Jó" xfId="182" xr:uid="{2143CA34-5B30-4181-90E4-13AD470F19CD}"/>
    <cellStyle name="Kimenet" xfId="183" xr:uid="{DF703862-25D7-41F8-B643-F45643C3848C}"/>
    <cellStyle name="Lien hypertexte 2" xfId="184" xr:uid="{5C26FBA9-CF25-40C6-9E6E-DD416B14E09A}"/>
    <cellStyle name="Lien hypertexte 3" xfId="185" xr:uid="{4946F582-90A5-47E6-85BC-18AA4AC35BA4}"/>
    <cellStyle name="Linked Cell 2" xfId="187" xr:uid="{45F0AC2A-BBE2-4D5B-8C87-3ECAEA443D8B}"/>
    <cellStyle name="Linked Cell 3" xfId="186" xr:uid="{BC3E3A54-F68A-4A10-B803-F86F69B87AA0}"/>
    <cellStyle name="Magyarázó szöveg" xfId="188" xr:uid="{0E5D7AE0-70F6-4EDC-8E10-B458D91E7BEE}"/>
    <cellStyle name="Millares 2" xfId="189" xr:uid="{EB5DB798-4770-4A15-B271-666B32A95E86}"/>
    <cellStyle name="Millares 2 2" xfId="190" xr:uid="{D58709F0-5DEA-4F7A-A73C-A2E3D52F157B}"/>
    <cellStyle name="Millares 3" xfId="191" xr:uid="{276E2177-A8EF-4F56-B9A4-AB41AB81BA60}"/>
    <cellStyle name="Millares 3 2" xfId="192" xr:uid="{7B40B905-487F-4190-9544-3ABD61EC3A3F}"/>
    <cellStyle name="Navadno_List1" xfId="193" xr:uid="{45AB6181-241D-4CF9-8EFE-BAA651B1B3B2}"/>
    <cellStyle name="Neutral 2" xfId="194" xr:uid="{4EFEDB57-BD90-40FA-B234-70610F77BA62}"/>
    <cellStyle name="Normal" xfId="0" builtinId="0"/>
    <cellStyle name="Normal 10" xfId="195" xr:uid="{78CA3DC1-27C8-4298-9CEC-F7EA3C4658F9}"/>
    <cellStyle name="Normal 2" xfId="4" xr:uid="{A2410AC0-942E-4E9C-A5CC-7C243F0C3E6E}"/>
    <cellStyle name="Normal 2 2" xfId="5" xr:uid="{AC8AF14D-DF4F-4B86-A20F-1BEEB7DE22D6}"/>
    <cellStyle name="Normal 2 2 2" xfId="9" xr:uid="{AB17BD20-9AE1-4215-A0A8-AFC20EF3BECE}"/>
    <cellStyle name="Normal 2 2 2 2" xfId="10" xr:uid="{00A99DE7-8A28-4541-89CC-CE082FB67089}"/>
    <cellStyle name="Normal 2 2 2 3" xfId="197" xr:uid="{23793560-91BE-4B88-85E8-25779EBB6535}"/>
    <cellStyle name="Normal 2 2 3" xfId="198" xr:uid="{693C23A9-088E-47FF-B897-36774725AAA4}"/>
    <cellStyle name="Normal 2 2 3 2" xfId="199" xr:uid="{A3EB3B71-5755-4475-8711-51DAC152F9EA}"/>
    <cellStyle name="Normal 2 2 4" xfId="196" xr:uid="{D6953A38-F3D4-4A82-A08F-8FC317E7CDAA}"/>
    <cellStyle name="Normal 2 2 5" xfId="253" xr:uid="{0A7D2EDF-D47D-4FFD-8F31-18909A5D2855}"/>
    <cellStyle name="Normal 2 2_COREP GL04rev3" xfId="200" xr:uid="{89412C7D-ACBF-4D15-A7C4-37E28A03DC35}"/>
    <cellStyle name="Normal 2 3" xfId="201" xr:uid="{EB99EE22-9831-4E17-BFB5-3ABC0B37A444}"/>
    <cellStyle name="Normal 2 5" xfId="202" xr:uid="{39261F53-9D64-4129-922D-9F706D22D79A}"/>
    <cellStyle name="Normal 2_~0149226" xfId="203" xr:uid="{1279E52B-42F8-4F34-A5D1-CA8242ED5C4F}"/>
    <cellStyle name="Normal 3" xfId="7" xr:uid="{99EB967D-5B1A-4AC5-862F-B232D75E6CDE}"/>
    <cellStyle name="Normal 3 2" xfId="205" xr:uid="{A9949AA9-6532-4F28-8F06-3B8A3411C9D4}"/>
    <cellStyle name="Normal 3 3" xfId="206" xr:uid="{4357298C-8EFE-415E-BD80-FF5A570893DB}"/>
    <cellStyle name="Normal 3 4" xfId="207" xr:uid="{4BE0AD97-85A6-4678-857F-06CDAC62B577}"/>
    <cellStyle name="Normal 3 5" xfId="204" xr:uid="{3D708618-1F90-4CC3-8432-916AD27AA71B}"/>
    <cellStyle name="Normal 3_~1520012" xfId="208" xr:uid="{8D18C6E3-8EDE-4473-B589-3F1DF6E4E86D}"/>
    <cellStyle name="Normal 4" xfId="8" xr:uid="{8456FC7B-4C48-4779-ADCA-5DD4A327A875}"/>
    <cellStyle name="Normal 4 2" xfId="12" xr:uid="{489B1058-59B1-45FE-BC64-5C64C6E31B16}"/>
    <cellStyle name="Normal 4 3" xfId="209" xr:uid="{ED226414-8ECC-4DA5-9D10-02F6C6A9E446}"/>
    <cellStyle name="Normal 5" xfId="11" xr:uid="{EC59FAD5-BE8E-4F48-8027-CEA1F7FDFDD0}"/>
    <cellStyle name="Normal 5 2" xfId="211" xr:uid="{9F6B4D01-EBF2-434B-AA08-E3B0C385524D}"/>
    <cellStyle name="Normal 5 3" xfId="210" xr:uid="{E45CEAE3-A376-4FB0-9380-4C459D3AEB05}"/>
    <cellStyle name="Normal 5_20130128_ITS on reporting_Annex I_CA" xfId="212" xr:uid="{BC44257A-1B1E-4502-AB3C-7E970DD72390}"/>
    <cellStyle name="Normal 6" xfId="14" xr:uid="{396C9ACF-EC87-4426-B6AB-80840CB50ED3}"/>
    <cellStyle name="Normal 6 2" xfId="213" xr:uid="{D2A374F2-46B8-458F-BE4A-8295A5919929}"/>
    <cellStyle name="Normal 7" xfId="1" xr:uid="{41DF7F1A-FA86-4DB7-9A86-2E024C944D9F}"/>
    <cellStyle name="Normal 7 2" xfId="215" xr:uid="{BFF85261-5905-416F-8707-BB6BEFA33395}"/>
    <cellStyle name="Normal 7 3" xfId="214" xr:uid="{ACE86845-CB06-4ACC-88B0-16058676A90F}"/>
    <cellStyle name="Normal 8" xfId="216" xr:uid="{A3E9EDC5-FD9B-4F3B-B7D9-EB4239B61864}"/>
    <cellStyle name="Normal 9" xfId="251" xr:uid="{F54B06FC-5C02-45DC-B3CC-F5E031123675}"/>
    <cellStyle name="Normal_PRUDENSIAL_1NNN_MMYY1-YENI-unprotected 2" xfId="252" xr:uid="{F91F6E2E-0E5C-4C11-B511-B02DE7A5579B}"/>
    <cellStyle name="Normal_titulniy list 2" xfId="250" xr:uid="{898058E9-7C44-4EE0-A61F-8B685175C961}"/>
    <cellStyle name="Normale_2011 04 14 Templates for stress test_bcl" xfId="217" xr:uid="{B2254F32-51EE-47B9-AE21-C67D06783D1F}"/>
    <cellStyle name="Notas" xfId="218" xr:uid="{9E636C4E-84AA-4A00-AB4D-D09F04FE55DC}"/>
    <cellStyle name="Note 2" xfId="6" xr:uid="{90E22728-6BB4-4920-829A-8F3A30EE77C9}"/>
    <cellStyle name="Note 2 2" xfId="220" xr:uid="{83AC2816-0CFA-45DA-B89C-F08465F0837B}"/>
    <cellStyle name="Note 3" xfId="15" xr:uid="{C223F68E-5971-487C-BA08-97D25F55C72D}"/>
    <cellStyle name="Note 4" xfId="219" xr:uid="{4FAA8BA3-F82A-401D-BE18-D51AA2CED4E7}"/>
    <cellStyle name="Összesen" xfId="221" xr:uid="{B6089314-0105-4C6B-9138-07A85D900F23}"/>
    <cellStyle name="Output 2" xfId="223" xr:uid="{D4CAF3C8-D1DA-43C2-B83D-06715E9B4B69}"/>
    <cellStyle name="Output 3" xfId="222" xr:uid="{84CDC692-7DA8-4F84-AB8A-DAEA48CF1512}"/>
    <cellStyle name="Percent 2" xfId="16" xr:uid="{3467F3D0-DDE4-4F5E-81EA-B7FAA23D1F53}"/>
    <cellStyle name="Percent 3" xfId="3" xr:uid="{914445B3-4165-4241-A676-609D0A4F67B7}"/>
    <cellStyle name="Porcentual 2" xfId="224" xr:uid="{6BADEB30-EBFC-4C0F-945D-32AFFDDEADF6}"/>
    <cellStyle name="Porcentual 2 2" xfId="225" xr:uid="{92775CB5-E07A-40CE-AE79-BB9961F29A36}"/>
    <cellStyle name="Prozent 2" xfId="226" xr:uid="{D9BE87DA-A52D-489E-ABCF-849D77D04434}"/>
    <cellStyle name="Rossz" xfId="227" xr:uid="{E3F5C4BD-80D4-4039-B142-6EE908B4C70C}"/>
    <cellStyle name="Salida" xfId="228" xr:uid="{98E5F603-2ED2-4F5F-960B-A292C40816F8}"/>
    <cellStyle name="Semleges" xfId="229" xr:uid="{FE5973B7-EC48-462A-97C8-D30DB49A72BB}"/>
    <cellStyle name="showExposure" xfId="230" xr:uid="{2ADDD1B1-BDAE-4958-8F8B-A798C1B7A2C5}"/>
    <cellStyle name="Standard 2" xfId="231" xr:uid="{7EF95118-F270-417D-9D2D-B343A380D0F6}"/>
    <cellStyle name="Standard 3" xfId="232" xr:uid="{633D8CB5-1EEA-45A0-97F5-CBDEC032F6D4}"/>
    <cellStyle name="Standard 3 2" xfId="233" xr:uid="{71964606-C699-4ABB-A2DF-CC6741F0B134}"/>
    <cellStyle name="Standard 4" xfId="234" xr:uid="{F98ECE3C-A18D-4730-B29E-4D12F0939A6D}"/>
    <cellStyle name="Standard_20100129_1559 Jentsch_COREP ON 20100129 COREP preliminary proposal_CR SA" xfId="235" xr:uid="{9F0C913E-EDD6-4E82-8233-E15619C82511}"/>
    <cellStyle name="Számítás" xfId="236" xr:uid="{F2A96998-FBF0-45B6-B0B6-F1A9F871DF25}"/>
    <cellStyle name="Texto de advertencia" xfId="237" xr:uid="{87DD8E76-F048-4EBF-B9D6-A7E27B80568A}"/>
    <cellStyle name="Texto explicativo" xfId="238" xr:uid="{3D178886-A30C-4151-9F29-82D98EE66789}"/>
    <cellStyle name="Title 2" xfId="240" xr:uid="{EE273D6D-E005-46D5-83BE-A38CD5894D0D}"/>
    <cellStyle name="Title 3" xfId="239" xr:uid="{7EE503CA-F6DC-4C04-8980-D7E2C9058317}"/>
    <cellStyle name="Título" xfId="241" xr:uid="{38F1BD19-DB8A-4138-B1C9-3894C64BC59F}"/>
    <cellStyle name="Título 1" xfId="242" xr:uid="{3582F6C7-6D84-4931-AEA0-B1289A2E3D37}"/>
    <cellStyle name="Título 2" xfId="243" xr:uid="{68114955-7F68-4719-B0F0-1ACD5ADE7147}"/>
    <cellStyle name="Título 3" xfId="244" xr:uid="{F3403030-A5F0-40D8-BA06-DF4E29B7FAD7}"/>
    <cellStyle name="Título_20091015 DE_Proposed amendments to CR SEC_MKR" xfId="245" xr:uid="{09491EF0-9FC0-4585-9426-03666720CE7A}"/>
    <cellStyle name="Total 2" xfId="247" xr:uid="{0D06E471-53EB-4F7D-AEB9-0BE0B9D993B1}"/>
    <cellStyle name="Total 3" xfId="246" xr:uid="{4BB9085F-4E7D-4305-9050-A6F2FDF6B378}"/>
    <cellStyle name="Warning Text 2" xfId="249" xr:uid="{63059B68-3A56-4857-B140-B3F1BE7238FA}"/>
    <cellStyle name="Warning Text 3" xfId="248" xr:uid="{E462DA87-181F-4EE7-9CF6-E2A4F073B3FC}"/>
    <cellStyle name="Обычный_Лист1" xfId="13" xr:uid="{ACB59B7C-9CFA-45F1-9346-10D7D63BD1AB}"/>
  </cellStyles>
  <dxfs count="4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1" defaultTableStyle="TableStyleMedium2" defaultPivotStyle="PivotStyleLight16">
    <tableStyle name="Invisible" pivot="0" table="0" count="0" xr9:uid="{16701382-2471-4BFE-B6B7-61964D701657}"/>
  </tableStyles>
  <colors>
    <mruColors>
      <color rgb="FFFFFFCC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1009650</xdr:colOff>
      <xdr:row>11</xdr:row>
      <xdr:rowOff>285750</xdr:rowOff>
    </xdr:from>
    <xdr:ext cx="257175" cy="247650"/>
    <xdr:sp macro="" textlink="">
      <xdr:nvSpPr>
        <xdr:cNvPr id="2" name="OptionButton1" hidden="1">
          <a:extLst>
            <a:ext uri="{63B3BB69-23CF-44E3-9099-C40C66FF867C}">
              <a14:compatExt xmlns:a14="http://schemas.microsoft.com/office/drawing/2010/main" spid="_x0000_s9217"/>
            </a:ext>
            <a:ext uri="{FF2B5EF4-FFF2-40B4-BE49-F238E27FC236}">
              <a16:creationId xmlns:a16="http://schemas.microsoft.com/office/drawing/2014/main" id="{4CBB1754-0971-40D8-B11A-B6917700C3F4}"/>
            </a:ext>
          </a:extLst>
        </xdr:cNvPr>
        <xdr:cNvSpPr/>
      </xdr:nvSpPr>
      <xdr:spPr bwMode="auto">
        <a:xfrm>
          <a:off x="1009650" y="3242310"/>
          <a:ext cx="257175" cy="2476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752475</xdr:colOff>
      <xdr:row>11</xdr:row>
      <xdr:rowOff>276225</xdr:rowOff>
    </xdr:from>
    <xdr:ext cx="219075" cy="247650"/>
    <xdr:sp macro="" textlink="">
      <xdr:nvSpPr>
        <xdr:cNvPr id="3" name="OptionButton2" hidden="1">
          <a:extLst>
            <a:ext uri="{63B3BB69-23CF-44E3-9099-C40C66FF867C}">
              <a14:compatExt xmlns:a14="http://schemas.microsoft.com/office/drawing/2010/main" spid="_x0000_s9218"/>
            </a:ext>
            <a:ext uri="{FF2B5EF4-FFF2-40B4-BE49-F238E27FC236}">
              <a16:creationId xmlns:a16="http://schemas.microsoft.com/office/drawing/2014/main" id="{93C4E600-08FD-4AB4-AD0C-591ED7AA872B}"/>
            </a:ext>
          </a:extLst>
        </xdr:cNvPr>
        <xdr:cNvSpPr/>
      </xdr:nvSpPr>
      <xdr:spPr bwMode="auto">
        <a:xfrm>
          <a:off x="2802255" y="3248025"/>
          <a:ext cx="219075" cy="2476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1009650</xdr:colOff>
      <xdr:row>11</xdr:row>
      <xdr:rowOff>285750</xdr:rowOff>
    </xdr:from>
    <xdr:ext cx="257175" cy="247650"/>
    <xdr:sp macro="" textlink="">
      <xdr:nvSpPr>
        <xdr:cNvPr id="4" name="OptionButton1" hidden="1">
          <a:extLst>
            <a:ext uri="{63B3BB69-23CF-44E3-9099-C40C66FF867C}">
              <a14:compatExt xmlns:a14="http://schemas.microsoft.com/office/drawing/2010/main" spid="_x0000_s9217"/>
            </a:ext>
            <a:ext uri="{FF2B5EF4-FFF2-40B4-BE49-F238E27FC236}">
              <a16:creationId xmlns:a16="http://schemas.microsoft.com/office/drawing/2014/main" id="{02439999-63FC-42BB-9D3B-D868C24F3D0A}"/>
            </a:ext>
          </a:extLst>
        </xdr:cNvPr>
        <xdr:cNvSpPr/>
      </xdr:nvSpPr>
      <xdr:spPr bwMode="auto">
        <a:xfrm>
          <a:off x="1634490" y="2419350"/>
          <a:ext cx="257175" cy="2476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752475</xdr:colOff>
      <xdr:row>11</xdr:row>
      <xdr:rowOff>276225</xdr:rowOff>
    </xdr:from>
    <xdr:ext cx="219075" cy="247650"/>
    <xdr:sp macro="" textlink="">
      <xdr:nvSpPr>
        <xdr:cNvPr id="5" name="OptionButton2" hidden="1">
          <a:extLst>
            <a:ext uri="{63B3BB69-23CF-44E3-9099-C40C66FF867C}">
              <a14:compatExt xmlns:a14="http://schemas.microsoft.com/office/drawing/2010/main" spid="_x0000_s9218"/>
            </a:ext>
            <a:ext uri="{FF2B5EF4-FFF2-40B4-BE49-F238E27FC236}">
              <a16:creationId xmlns:a16="http://schemas.microsoft.com/office/drawing/2014/main" id="{98465B0B-24B1-45AF-8EB5-779AB1DFD4B4}"/>
            </a:ext>
          </a:extLst>
        </xdr:cNvPr>
        <xdr:cNvSpPr/>
      </xdr:nvSpPr>
      <xdr:spPr bwMode="auto">
        <a:xfrm>
          <a:off x="4989195" y="2409825"/>
          <a:ext cx="219075" cy="2476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F274D-8B36-4A21-BB0D-865DD885390E}">
  <dimension ref="A1:H26"/>
  <sheetViews>
    <sheetView view="pageBreakPreview" zoomScale="115" zoomScaleNormal="85" zoomScaleSheetLayoutView="115" workbookViewId="0">
      <selection activeCell="E25" sqref="E25"/>
    </sheetView>
  </sheetViews>
  <sheetFormatPr defaultColWidth="9.109375" defaultRowHeight="15.6"/>
  <cols>
    <col min="1" max="1" width="9.109375" style="65"/>
    <col min="2" max="2" width="52.6640625" style="65" customWidth="1"/>
    <col min="3" max="3" width="36.77734375" style="65" customWidth="1"/>
    <col min="4" max="4" width="19.109375" style="65" customWidth="1"/>
    <col min="5" max="5" width="15.44140625" style="65" customWidth="1"/>
    <col min="6" max="16384" width="9.109375" style="65"/>
  </cols>
  <sheetData>
    <row r="1" spans="1:5">
      <c r="B1" s="136" t="s">
        <v>4</v>
      </c>
      <c r="C1" s="136"/>
      <c r="D1" s="136"/>
      <c r="E1" s="136"/>
    </row>
    <row r="2" spans="1:5" ht="14.4" customHeight="1">
      <c r="B2" s="137"/>
      <c r="C2" s="137"/>
      <c r="D2" s="137"/>
      <c r="E2" s="137"/>
    </row>
    <row r="3" spans="1:5" ht="13.5" customHeight="1">
      <c r="B3" s="134"/>
      <c r="C3" s="134"/>
      <c r="D3" s="134"/>
      <c r="E3" s="134"/>
    </row>
    <row r="4" spans="1:5">
      <c r="B4" s="137" t="s">
        <v>21</v>
      </c>
      <c r="C4" s="137"/>
      <c r="D4" s="137"/>
      <c r="E4" s="137"/>
    </row>
    <row r="5" spans="1:5">
      <c r="B5" s="135"/>
      <c r="C5" s="135"/>
      <c r="D5" s="135"/>
      <c r="E5" s="135"/>
    </row>
    <row r="6" spans="1:5">
      <c r="B6" s="137" t="s">
        <v>5</v>
      </c>
      <c r="C6" s="137"/>
      <c r="D6" s="137"/>
      <c r="E6" s="137"/>
    </row>
    <row r="7" spans="1:5">
      <c r="B7" s="134"/>
      <c r="C7" s="134"/>
      <c r="D7" s="134"/>
      <c r="E7" s="134"/>
    </row>
    <row r="8" spans="1:5">
      <c r="A8" s="109" t="s">
        <v>23</v>
      </c>
      <c r="B8" s="45" t="s">
        <v>6</v>
      </c>
      <c r="C8" s="95"/>
      <c r="D8" s="101" t="s">
        <v>7</v>
      </c>
      <c r="E8" s="70"/>
    </row>
    <row r="9" spans="1:5">
      <c r="A9" s="109" t="s">
        <v>39</v>
      </c>
      <c r="B9" s="45" t="s">
        <v>8</v>
      </c>
      <c r="C9" s="100"/>
      <c r="D9" s="98"/>
      <c r="E9" s="98"/>
    </row>
    <row r="10" spans="1:5">
      <c r="A10" s="109" t="s">
        <v>52</v>
      </c>
      <c r="B10" s="94" t="s">
        <v>9</v>
      </c>
      <c r="C10" s="102"/>
      <c r="D10" s="99"/>
      <c r="E10" s="99"/>
    </row>
    <row r="11" spans="1:5">
      <c r="A11" s="109" t="s">
        <v>53</v>
      </c>
      <c r="B11" s="101" t="s">
        <v>10</v>
      </c>
      <c r="C11" s="103"/>
      <c r="D11" s="99"/>
      <c r="E11" s="99"/>
    </row>
    <row r="12" spans="1:5" ht="27" customHeight="1">
      <c r="A12" s="109" t="s">
        <v>388</v>
      </c>
      <c r="B12" s="106" t="s">
        <v>386</v>
      </c>
      <c r="C12" s="105" t="s">
        <v>387</v>
      </c>
      <c r="D12" s="104"/>
      <c r="E12" s="104"/>
    </row>
    <row r="13" spans="1:5">
      <c r="A13" s="109"/>
      <c r="B13" s="138"/>
      <c r="C13" s="138"/>
      <c r="D13" s="141"/>
      <c r="E13" s="141"/>
    </row>
    <row r="14" spans="1:5">
      <c r="A14" s="109"/>
      <c r="B14" s="137" t="s">
        <v>11</v>
      </c>
      <c r="C14" s="137"/>
      <c r="D14" s="137"/>
      <c r="E14" s="137"/>
    </row>
    <row r="15" spans="1:5" ht="16.2">
      <c r="A15" s="109"/>
      <c r="B15" s="140"/>
      <c r="C15" s="140"/>
      <c r="D15" s="140"/>
      <c r="E15" s="140"/>
    </row>
    <row r="16" spans="1:5" ht="46.2" customHeight="1">
      <c r="A16" s="109"/>
      <c r="B16" s="142" t="s">
        <v>22</v>
      </c>
      <c r="C16" s="142"/>
      <c r="D16" s="142"/>
      <c r="E16" s="142"/>
    </row>
    <row r="17" spans="1:8">
      <c r="A17" s="109"/>
      <c r="B17" s="138"/>
      <c r="C17" s="138"/>
      <c r="D17" s="139"/>
      <c r="E17" s="139"/>
    </row>
    <row r="18" spans="1:8" ht="43.95" customHeight="1">
      <c r="A18" s="109" t="s">
        <v>55</v>
      </c>
      <c r="B18" s="96" t="s">
        <v>12</v>
      </c>
      <c r="C18" s="107"/>
      <c r="D18" s="98"/>
      <c r="E18" s="98"/>
      <c r="H18" s="51"/>
    </row>
    <row r="19" spans="1:8" ht="26.25" customHeight="1">
      <c r="A19" s="109" t="s">
        <v>63</v>
      </c>
      <c r="B19" s="96" t="s">
        <v>13</v>
      </c>
      <c r="C19" s="107"/>
      <c r="D19" s="98"/>
      <c r="E19" s="98"/>
    </row>
    <row r="20" spans="1:8">
      <c r="A20" s="109" t="s">
        <v>69</v>
      </c>
      <c r="B20" s="96" t="s">
        <v>14</v>
      </c>
      <c r="C20" s="107"/>
      <c r="D20" s="98"/>
      <c r="E20" s="98"/>
    </row>
    <row r="21" spans="1:8">
      <c r="A21" s="109" t="s">
        <v>70</v>
      </c>
      <c r="B21" s="96" t="s">
        <v>15</v>
      </c>
      <c r="C21" s="107"/>
      <c r="D21" s="133"/>
      <c r="E21" s="133"/>
    </row>
    <row r="22" spans="1:8" ht="16.2">
      <c r="A22" s="109" t="s">
        <v>389</v>
      </c>
      <c r="B22" s="97" t="s">
        <v>16</v>
      </c>
      <c r="C22" s="108"/>
      <c r="D22" s="98"/>
      <c r="E22" s="98"/>
    </row>
    <row r="23" spans="1:8" ht="16.2">
      <c r="A23" s="109" t="s">
        <v>390</v>
      </c>
      <c r="B23" s="97" t="s">
        <v>17</v>
      </c>
      <c r="C23" s="108"/>
      <c r="D23" s="98"/>
      <c r="E23" s="98"/>
    </row>
    <row r="24" spans="1:8" ht="16.2">
      <c r="A24" s="109" t="s">
        <v>391</v>
      </c>
      <c r="B24" s="97" t="s">
        <v>18</v>
      </c>
      <c r="C24" s="108"/>
      <c r="D24" s="98"/>
      <c r="E24" s="98"/>
    </row>
    <row r="25" spans="1:8" ht="16.2">
      <c r="A25" s="109" t="s">
        <v>392</v>
      </c>
      <c r="B25" s="97" t="s">
        <v>19</v>
      </c>
      <c r="C25" s="108"/>
      <c r="D25" s="98"/>
      <c r="E25" s="98"/>
    </row>
    <row r="26" spans="1:8" ht="16.2">
      <c r="A26" s="109" t="s">
        <v>393</v>
      </c>
      <c r="B26" s="97" t="s">
        <v>20</v>
      </c>
      <c r="C26" s="108"/>
      <c r="D26" s="98"/>
      <c r="E26" s="98"/>
    </row>
  </sheetData>
  <mergeCells count="12">
    <mergeCell ref="B17:E17"/>
    <mergeCell ref="B15:E15"/>
    <mergeCell ref="B13:E13"/>
    <mergeCell ref="B14:E14"/>
    <mergeCell ref="B16:E16"/>
    <mergeCell ref="B7:E7"/>
    <mergeCell ref="B5:E5"/>
    <mergeCell ref="B3:E3"/>
    <mergeCell ref="B1:E1"/>
    <mergeCell ref="B2:E2"/>
    <mergeCell ref="B4:E4"/>
    <mergeCell ref="B6:E6"/>
  </mergeCells>
  <phoneticPr fontId="52" type="noConversion"/>
  <conditionalFormatting sqref="B1:E1">
    <cfRule type="expression" dxfId="40" priority="16">
      <formula>B1048569="PLEASE CORRECT ALL COMPARISON RULES"</formula>
    </cfRule>
  </conditionalFormatting>
  <conditionalFormatting sqref="B25:C25">
    <cfRule type="expression" dxfId="39" priority="15">
      <formula>B1048569="PLEASE CORRECT ALL COMPARISON RULES"</formula>
    </cfRule>
  </conditionalFormatting>
  <conditionalFormatting sqref="B24:C24">
    <cfRule type="expression" dxfId="38" priority="14">
      <formula>B1048569="PLEASE CORRECT ALL COMPARISON RULES"</formula>
    </cfRule>
  </conditionalFormatting>
  <conditionalFormatting sqref="B23:C23">
    <cfRule type="expression" dxfId="37" priority="13">
      <formula>B1048569="PLEASE CORRECT ALL COMPARISON RULES"</formula>
    </cfRule>
  </conditionalFormatting>
  <conditionalFormatting sqref="B22:C22">
    <cfRule type="expression" dxfId="36" priority="12">
      <formula>B1048569="PLEASE CORRECT ALL COMPARISON RULES"</formula>
    </cfRule>
  </conditionalFormatting>
  <conditionalFormatting sqref="B21:C21">
    <cfRule type="expression" dxfId="35" priority="11">
      <formula>B1048569="PLEASE CORRECT ALL COMPARISON RULES"</formula>
    </cfRule>
  </conditionalFormatting>
  <conditionalFormatting sqref="B20:C20">
    <cfRule type="expression" dxfId="34" priority="10">
      <formula>B1048569="PLEASE CORRECT ALL COMPARISON RULES"</formula>
    </cfRule>
  </conditionalFormatting>
  <conditionalFormatting sqref="B19:C19">
    <cfRule type="expression" dxfId="33" priority="9">
      <formula>B1048569="PLEASE CORRECT ALL COMPARISON RULES"</formula>
    </cfRule>
  </conditionalFormatting>
  <conditionalFormatting sqref="B18:C18">
    <cfRule type="expression" dxfId="32" priority="8">
      <formula>B1048569="PLEASE CORRECT ALL COMPARISON RULES"</formula>
    </cfRule>
  </conditionalFormatting>
  <conditionalFormatting sqref="B16:E16">
    <cfRule type="expression" dxfId="31" priority="7">
      <formula>B1048569="PLEASE CORRECT ALL COMPARISON RULES"</formula>
    </cfRule>
  </conditionalFormatting>
  <conditionalFormatting sqref="B14:E14">
    <cfRule type="expression" dxfId="30" priority="6">
      <formula>B1048569="PLEASE CORRECT ALL COMPARISON RULES"</formula>
    </cfRule>
  </conditionalFormatting>
  <conditionalFormatting sqref="B12">
    <cfRule type="expression" dxfId="29" priority="5">
      <formula>B1048569="PLEASE CORRECT ALL COMPARISON RULES"</formula>
    </cfRule>
  </conditionalFormatting>
  <conditionalFormatting sqref="B11:C11">
    <cfRule type="expression" dxfId="28" priority="4">
      <formula>B1048569="PLEASE CORRECT ALL COMPARISON RULES"</formula>
    </cfRule>
  </conditionalFormatting>
  <conditionalFormatting sqref="B10">
    <cfRule type="expression" dxfId="27" priority="3">
      <formula>B1048569="PLEASE CORRECT ALL COMPARISON RULES"</formula>
    </cfRule>
  </conditionalFormatting>
  <conditionalFormatting sqref="B9">
    <cfRule type="expression" dxfId="26" priority="2">
      <formula>B1048569="PLEASE CORRECT ALL COMPARISON RULES"</formula>
    </cfRule>
  </conditionalFormatting>
  <conditionalFormatting sqref="B26:C26">
    <cfRule type="expression" dxfId="25" priority="1">
      <formula>B1048569="PLEASE CORRECT ALL COMPARISON RULES"</formula>
    </cfRule>
  </conditionalFormatting>
  <conditionalFormatting sqref="B2:E2">
    <cfRule type="expression" dxfId="24" priority="17">
      <formula>B1048569="PLEASE CORRECT ALL COMPARISON RULES"</formula>
    </cfRule>
  </conditionalFormatting>
  <conditionalFormatting sqref="B4:E4">
    <cfRule type="expression" dxfId="23" priority="18">
      <formula>B1048569="PLEASE CORRECT ALL COMPARISON RULES"</formula>
    </cfRule>
  </conditionalFormatting>
  <conditionalFormatting sqref="B6:E6">
    <cfRule type="expression" dxfId="22" priority="19">
      <formula>B1048569="PLEASE CORRECT ALL COMPARISON RULES"</formula>
    </cfRule>
  </conditionalFormatting>
  <conditionalFormatting sqref="B8">
    <cfRule type="expression" dxfId="21" priority="20">
      <formula>B1048569="PLEASE CORRECT ALL COMPARISON RULES"</formula>
    </cfRule>
  </conditionalFormatting>
  <conditionalFormatting sqref="D8">
    <cfRule type="expression" dxfId="20" priority="21">
      <formula>B1048569="PLEASE CORRECT ALL COMPARISON RULES"</formula>
    </cfRule>
  </conditionalFormatting>
  <dataValidations count="1">
    <dataValidation type="list" allowBlank="1" showInputMessage="1" showErrorMessage="1" sqref="C12" xr:uid="{26D12A3E-E402-4327-AADB-EB232C6794FC}">
      <formula1>"Bəli, Xeyr"</formula1>
    </dataValidation>
  </dataValidations>
  <pageMargins left="0.7" right="0.7" top="0.75" bottom="0.75" header="0.3" footer="0.3"/>
  <pageSetup paperSize="9" scale="4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AA505-85DB-42D6-87D6-306EF9A3BC3B}">
  <dimension ref="A1:M148"/>
  <sheetViews>
    <sheetView showGridLines="0" topLeftCell="A27" zoomScale="85" zoomScaleNormal="85" workbookViewId="0">
      <selection activeCell="D132" sqref="D132:D148"/>
    </sheetView>
  </sheetViews>
  <sheetFormatPr defaultColWidth="9.109375" defaultRowHeight="14.4"/>
  <cols>
    <col min="1" max="1" width="9.109375" style="132"/>
    <col min="2" max="2" width="43.109375" bestFit="1" customWidth="1"/>
    <col min="3" max="3" width="6.21875" bestFit="1" customWidth="1"/>
    <col min="4" max="4" width="13.44140625" bestFit="1" customWidth="1"/>
    <col min="5" max="7" width="11.109375" bestFit="1" customWidth="1"/>
    <col min="8" max="8" width="6.6640625" bestFit="1" customWidth="1"/>
    <col min="9" max="9" width="6.33203125" bestFit="1" customWidth="1"/>
    <col min="10" max="12" width="11.109375" bestFit="1" customWidth="1"/>
    <col min="13" max="13" width="6.6640625" bestFit="1" customWidth="1"/>
    <col min="14" max="14" width="4.6640625" customWidth="1"/>
  </cols>
  <sheetData>
    <row r="1" spans="1:13" s="72" customFormat="1" ht="15.6"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3" s="74" customFormat="1" ht="15.6">
      <c r="B2" s="151" t="s">
        <v>94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</row>
    <row r="3" spans="1:13" s="74" customFormat="1" ht="15.6">
      <c r="B3" s="151" t="s">
        <v>90</v>
      </c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</row>
    <row r="4" spans="1:13" s="74" customFormat="1" ht="15.6">
      <c r="B4" s="151" t="s">
        <v>257</v>
      </c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</row>
    <row r="5" spans="1:13" s="74" customFormat="1" ht="15.6">
      <c r="B5" s="152" t="s">
        <v>0</v>
      </c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</row>
    <row r="6" spans="1:13" s="75" customFormat="1" ht="22.95" customHeight="1">
      <c r="A6" s="79"/>
      <c r="B6" s="145" t="s">
        <v>93</v>
      </c>
      <c r="C6" s="145"/>
      <c r="D6" s="144" t="s">
        <v>92</v>
      </c>
      <c r="E6" s="144"/>
      <c r="F6" s="144"/>
      <c r="G6" s="144"/>
      <c r="H6" s="144"/>
      <c r="I6" s="143" t="s">
        <v>205</v>
      </c>
      <c r="J6" s="143"/>
      <c r="K6" s="143"/>
      <c r="L6" s="143"/>
      <c r="M6" s="143"/>
    </row>
    <row r="7" spans="1:13" s="79" customFormat="1" ht="70.95" customHeight="1">
      <c r="B7" s="145"/>
      <c r="C7" s="145"/>
      <c r="D7" s="76" t="s">
        <v>91</v>
      </c>
      <c r="E7" s="77" t="s">
        <v>1</v>
      </c>
      <c r="F7" s="77" t="s">
        <v>2</v>
      </c>
      <c r="G7" s="77" t="s">
        <v>3</v>
      </c>
      <c r="H7" s="78" t="s">
        <v>354</v>
      </c>
      <c r="I7" s="78" t="s">
        <v>91</v>
      </c>
      <c r="J7" s="77" t="s">
        <v>1</v>
      </c>
      <c r="K7" s="77" t="s">
        <v>2</v>
      </c>
      <c r="L7" s="77" t="s">
        <v>3</v>
      </c>
      <c r="M7" s="78" t="s">
        <v>354</v>
      </c>
    </row>
    <row r="8" spans="1:13" s="79" customFormat="1" ht="15.6">
      <c r="B8" s="149">
        <v>1</v>
      </c>
      <c r="C8" s="150"/>
      <c r="D8" s="77">
        <v>2</v>
      </c>
      <c r="E8" s="77">
        <v>3</v>
      </c>
      <c r="F8" s="77">
        <v>4</v>
      </c>
      <c r="G8" s="77">
        <v>5</v>
      </c>
      <c r="H8" s="77">
        <v>6</v>
      </c>
      <c r="I8" s="77">
        <v>7</v>
      </c>
      <c r="J8" s="77">
        <v>8</v>
      </c>
      <c r="K8" s="77">
        <v>9</v>
      </c>
      <c r="L8" s="77">
        <v>10</v>
      </c>
      <c r="M8" s="77">
        <v>11</v>
      </c>
    </row>
    <row r="9" spans="1:13" s="79" customFormat="1" ht="15.6">
      <c r="A9" s="79" t="s">
        <v>23</v>
      </c>
      <c r="B9" s="80" t="s">
        <v>365</v>
      </c>
      <c r="C9" s="77" t="s">
        <v>54</v>
      </c>
      <c r="D9" s="184">
        <f>D10+D18+D24+D25</f>
        <v>0</v>
      </c>
      <c r="E9" s="184">
        <f>E10+E18+E24+E25</f>
        <v>0</v>
      </c>
      <c r="F9" s="184">
        <f t="shared" ref="F9:K9" si="0">F10+F18+F24+F25</f>
        <v>0</v>
      </c>
      <c r="G9" s="184">
        <f t="shared" si="0"/>
        <v>0</v>
      </c>
      <c r="H9" s="184">
        <f t="shared" si="0"/>
        <v>0</v>
      </c>
      <c r="I9" s="184">
        <f>I10+I18+I24+I25</f>
        <v>0</v>
      </c>
      <c r="J9" s="184">
        <f>J10+J18+J24+J25</f>
        <v>0</v>
      </c>
      <c r="K9" s="184">
        <f t="shared" si="0"/>
        <v>0</v>
      </c>
      <c r="L9" s="184">
        <f t="shared" ref="L9" si="1">L10+L18+L24+L25</f>
        <v>0</v>
      </c>
      <c r="M9" s="184">
        <f>M10+M18+M24+M25</f>
        <v>0</v>
      </c>
    </row>
    <row r="10" spans="1:13" s="79" customFormat="1" ht="15.6">
      <c r="A10" s="79" t="s">
        <v>39</v>
      </c>
      <c r="B10" s="81" t="s">
        <v>24</v>
      </c>
      <c r="C10" s="77" t="s">
        <v>23</v>
      </c>
      <c r="D10" s="184">
        <f>SUM(E10+F10+G10+H10)</f>
        <v>0</v>
      </c>
      <c r="E10" s="184">
        <f>SUM(E11:E17)</f>
        <v>0</v>
      </c>
      <c r="F10" s="184">
        <f t="shared" ref="F10:H10" si="2">SUM(F11:F17)</f>
        <v>0</v>
      </c>
      <c r="G10" s="184">
        <f t="shared" si="2"/>
        <v>0</v>
      </c>
      <c r="H10" s="184">
        <f t="shared" si="2"/>
        <v>0</v>
      </c>
      <c r="I10" s="184">
        <f>SUM(J10:M10)</f>
        <v>0</v>
      </c>
      <c r="J10" s="184">
        <f>SUM(J11:J17)</f>
        <v>0</v>
      </c>
      <c r="K10" s="184">
        <f t="shared" ref="K10:L10" si="3">SUM(K11:K17)</f>
        <v>0</v>
      </c>
      <c r="L10" s="184">
        <f t="shared" si="3"/>
        <v>0</v>
      </c>
      <c r="M10" s="184">
        <f>SUM(M11:M17)</f>
        <v>0</v>
      </c>
    </row>
    <row r="11" spans="1:13" s="79" customFormat="1" ht="15.6">
      <c r="A11" s="79" t="s">
        <v>52</v>
      </c>
      <c r="B11" s="82" t="s">
        <v>25</v>
      </c>
      <c r="C11" s="83" t="s">
        <v>32</v>
      </c>
      <c r="D11" s="185">
        <f>SUM(E11:H11)</f>
        <v>0</v>
      </c>
      <c r="E11" s="186"/>
      <c r="F11" s="186"/>
      <c r="G11" s="186"/>
      <c r="H11" s="186"/>
      <c r="I11" s="185">
        <f>SUM(J11:M11)</f>
        <v>0</v>
      </c>
      <c r="J11" s="186"/>
      <c r="K11" s="186"/>
      <c r="L11" s="186"/>
      <c r="M11" s="186"/>
    </row>
    <row r="12" spans="1:13" s="79" customFormat="1" ht="15.6">
      <c r="A12" s="79" t="s">
        <v>53</v>
      </c>
      <c r="B12" s="82" t="s">
        <v>26</v>
      </c>
      <c r="C12" s="83" t="s">
        <v>33</v>
      </c>
      <c r="D12" s="185">
        <f t="shared" ref="D12:D23" si="4">SUM(E12:H12)</f>
        <v>0</v>
      </c>
      <c r="E12" s="186"/>
      <c r="F12" s="186"/>
      <c r="G12" s="186"/>
      <c r="H12" s="186"/>
      <c r="I12" s="185">
        <f>SUM(J12:M12)</f>
        <v>0</v>
      </c>
      <c r="J12" s="186"/>
      <c r="K12" s="186"/>
      <c r="L12" s="186"/>
      <c r="M12" s="186"/>
    </row>
    <row r="13" spans="1:13" s="79" customFormat="1" ht="15.6">
      <c r="A13" s="79" t="s">
        <v>388</v>
      </c>
      <c r="B13" s="82" t="s">
        <v>27</v>
      </c>
      <c r="C13" s="83" t="s">
        <v>34</v>
      </c>
      <c r="D13" s="185">
        <f t="shared" si="4"/>
        <v>0</v>
      </c>
      <c r="E13" s="186"/>
      <c r="F13" s="186"/>
      <c r="G13" s="186"/>
      <c r="H13" s="186"/>
      <c r="I13" s="185">
        <f>SUM(J13:M13)</f>
        <v>0</v>
      </c>
      <c r="J13" s="186"/>
      <c r="K13" s="186"/>
      <c r="L13" s="186"/>
      <c r="M13" s="186"/>
    </row>
    <row r="14" spans="1:13" s="79" customFormat="1" ht="15.6">
      <c r="A14" s="79" t="s">
        <v>398</v>
      </c>
      <c r="B14" s="82" t="s">
        <v>28</v>
      </c>
      <c r="C14" s="83" t="s">
        <v>35</v>
      </c>
      <c r="D14" s="185">
        <f t="shared" si="4"/>
        <v>0</v>
      </c>
      <c r="E14" s="186"/>
      <c r="F14" s="186"/>
      <c r="G14" s="186"/>
      <c r="H14" s="186"/>
      <c r="I14" s="185">
        <f t="shared" ref="I14:I24" si="5">SUM(J14:M14)</f>
        <v>0</v>
      </c>
      <c r="J14" s="186"/>
      <c r="K14" s="186"/>
      <c r="L14" s="186"/>
      <c r="M14" s="186"/>
    </row>
    <row r="15" spans="1:13" s="79" customFormat="1" ht="15.6">
      <c r="A15" s="79" t="s">
        <v>399</v>
      </c>
      <c r="B15" s="82" t="s">
        <v>29</v>
      </c>
      <c r="C15" s="83" t="s">
        <v>36</v>
      </c>
      <c r="D15" s="185">
        <f t="shared" si="4"/>
        <v>0</v>
      </c>
      <c r="E15" s="186"/>
      <c r="F15" s="186"/>
      <c r="G15" s="186"/>
      <c r="H15" s="186"/>
      <c r="I15" s="185">
        <f t="shared" si="5"/>
        <v>0</v>
      </c>
      <c r="J15" s="186"/>
      <c r="K15" s="186"/>
      <c r="L15" s="186"/>
      <c r="M15" s="186"/>
    </row>
    <row r="16" spans="1:13" s="79" customFormat="1" ht="15.6">
      <c r="A16" s="79" t="s">
        <v>400</v>
      </c>
      <c r="B16" s="82" t="s">
        <v>30</v>
      </c>
      <c r="C16" s="83" t="s">
        <v>37</v>
      </c>
      <c r="D16" s="185">
        <f>SUM(E16:H16)</f>
        <v>0</v>
      </c>
      <c r="E16" s="186"/>
      <c r="F16" s="186"/>
      <c r="G16" s="186"/>
      <c r="H16" s="186"/>
      <c r="I16" s="185">
        <f t="shared" si="5"/>
        <v>0</v>
      </c>
      <c r="J16" s="186"/>
      <c r="K16" s="186"/>
      <c r="L16" s="186"/>
      <c r="M16" s="186"/>
    </row>
    <row r="17" spans="1:13" s="79" customFormat="1" ht="15.6">
      <c r="A17" s="79" t="s">
        <v>401</v>
      </c>
      <c r="B17" s="82" t="s">
        <v>31</v>
      </c>
      <c r="C17" s="83" t="s">
        <v>38</v>
      </c>
      <c r="D17" s="185">
        <f t="shared" si="4"/>
        <v>0</v>
      </c>
      <c r="E17" s="186"/>
      <c r="F17" s="186"/>
      <c r="G17" s="186"/>
      <c r="H17" s="186"/>
      <c r="I17" s="185">
        <f t="shared" si="5"/>
        <v>0</v>
      </c>
      <c r="J17" s="186"/>
      <c r="K17" s="186"/>
      <c r="L17" s="186"/>
      <c r="M17" s="186"/>
    </row>
    <row r="18" spans="1:13" s="79" customFormat="1" ht="15.6">
      <c r="A18" s="79" t="s">
        <v>402</v>
      </c>
      <c r="B18" s="81" t="s">
        <v>45</v>
      </c>
      <c r="C18" s="77" t="s">
        <v>39</v>
      </c>
      <c r="D18" s="184">
        <f>SUM(E18:H18)</f>
        <v>0</v>
      </c>
      <c r="E18" s="184">
        <f>SUM(E19:E23)</f>
        <v>0</v>
      </c>
      <c r="F18" s="184">
        <f t="shared" ref="F18:H18" si="6">SUM(F19:F23)</f>
        <v>0</v>
      </c>
      <c r="G18" s="184">
        <f t="shared" si="6"/>
        <v>0</v>
      </c>
      <c r="H18" s="184">
        <f t="shared" si="6"/>
        <v>0</v>
      </c>
      <c r="I18" s="184">
        <f>SUM(J18:M18)</f>
        <v>0</v>
      </c>
      <c r="J18" s="184">
        <f>SUM(J19:J23)</f>
        <v>0</v>
      </c>
      <c r="K18" s="184">
        <f t="shared" ref="K18:M18" si="7">SUM(K19:K23)</f>
        <v>0</v>
      </c>
      <c r="L18" s="184">
        <f t="shared" si="7"/>
        <v>0</v>
      </c>
      <c r="M18" s="184">
        <f t="shared" si="7"/>
        <v>0</v>
      </c>
    </row>
    <row r="19" spans="1:13" s="79" customFormat="1" ht="15.6">
      <c r="A19" s="79" t="s">
        <v>394</v>
      </c>
      <c r="B19" s="82" t="s">
        <v>46</v>
      </c>
      <c r="C19" s="83" t="s">
        <v>40</v>
      </c>
      <c r="D19" s="185">
        <f>SUM(E19:H19)</f>
        <v>0</v>
      </c>
      <c r="E19" s="186"/>
      <c r="F19" s="186"/>
      <c r="G19" s="186"/>
      <c r="H19" s="186"/>
      <c r="I19" s="185">
        <f>SUM(J19:M19)</f>
        <v>0</v>
      </c>
      <c r="J19" s="186"/>
      <c r="K19" s="186"/>
      <c r="L19" s="186"/>
      <c r="M19" s="186"/>
    </row>
    <row r="20" spans="1:13" s="79" customFormat="1" ht="15.6">
      <c r="A20" s="79" t="s">
        <v>403</v>
      </c>
      <c r="B20" s="82" t="s">
        <v>47</v>
      </c>
      <c r="C20" s="83" t="s">
        <v>41</v>
      </c>
      <c r="D20" s="185">
        <f t="shared" si="4"/>
        <v>0</v>
      </c>
      <c r="E20" s="186"/>
      <c r="F20" s="186"/>
      <c r="G20" s="186"/>
      <c r="H20" s="186"/>
      <c r="I20" s="185">
        <f t="shared" si="5"/>
        <v>0</v>
      </c>
      <c r="J20" s="186"/>
      <c r="K20" s="186"/>
      <c r="L20" s="186"/>
      <c r="M20" s="186"/>
    </row>
    <row r="21" spans="1:13" s="79" customFormat="1" ht="15.6">
      <c r="A21" s="79" t="s">
        <v>404</v>
      </c>
      <c r="B21" s="82" t="s">
        <v>48</v>
      </c>
      <c r="C21" s="83" t="s">
        <v>42</v>
      </c>
      <c r="D21" s="185">
        <f t="shared" si="4"/>
        <v>0</v>
      </c>
      <c r="E21" s="186"/>
      <c r="F21" s="186"/>
      <c r="G21" s="186"/>
      <c r="H21" s="186"/>
      <c r="I21" s="185">
        <f t="shared" si="5"/>
        <v>0</v>
      </c>
      <c r="J21" s="186"/>
      <c r="K21" s="186"/>
      <c r="L21" s="186"/>
      <c r="M21" s="186"/>
    </row>
    <row r="22" spans="1:13" s="79" customFormat="1" ht="15.6">
      <c r="A22" s="79" t="s">
        <v>405</v>
      </c>
      <c r="B22" s="82" t="s">
        <v>249</v>
      </c>
      <c r="C22" s="83" t="s">
        <v>43</v>
      </c>
      <c r="D22" s="185">
        <f t="shared" si="4"/>
        <v>0</v>
      </c>
      <c r="E22" s="186"/>
      <c r="F22" s="186"/>
      <c r="G22" s="186"/>
      <c r="H22" s="186"/>
      <c r="I22" s="185">
        <f t="shared" si="5"/>
        <v>0</v>
      </c>
      <c r="J22" s="186"/>
      <c r="K22" s="186"/>
      <c r="L22" s="186"/>
      <c r="M22" s="186"/>
    </row>
    <row r="23" spans="1:13" s="79" customFormat="1" ht="15.6">
      <c r="A23" s="79" t="s">
        <v>406</v>
      </c>
      <c r="B23" s="82" t="s">
        <v>49</v>
      </c>
      <c r="C23" s="83" t="s">
        <v>44</v>
      </c>
      <c r="D23" s="185">
        <f t="shared" si="4"/>
        <v>0</v>
      </c>
      <c r="E23" s="186"/>
      <c r="F23" s="186"/>
      <c r="G23" s="186"/>
      <c r="H23" s="186"/>
      <c r="I23" s="185">
        <f t="shared" si="5"/>
        <v>0</v>
      </c>
      <c r="J23" s="186"/>
      <c r="K23" s="186"/>
      <c r="L23" s="186"/>
      <c r="M23" s="186"/>
    </row>
    <row r="24" spans="1:13" s="79" customFormat="1" ht="15.6">
      <c r="A24" s="79" t="s">
        <v>407</v>
      </c>
      <c r="B24" s="84" t="s">
        <v>50</v>
      </c>
      <c r="C24" s="77" t="s">
        <v>52</v>
      </c>
      <c r="D24" s="184">
        <f>SUM(E24:H24)</f>
        <v>0</v>
      </c>
      <c r="E24" s="187"/>
      <c r="F24" s="187"/>
      <c r="G24" s="187"/>
      <c r="H24" s="187"/>
      <c r="I24" s="184">
        <f t="shared" si="5"/>
        <v>0</v>
      </c>
      <c r="J24" s="187"/>
      <c r="K24" s="187"/>
      <c r="L24" s="187"/>
      <c r="M24" s="187"/>
    </row>
    <row r="25" spans="1:13" s="79" customFormat="1" ht="15.6">
      <c r="A25" s="79" t="s">
        <v>408</v>
      </c>
      <c r="B25" s="84" t="s">
        <v>51</v>
      </c>
      <c r="C25" s="77" t="s">
        <v>53</v>
      </c>
      <c r="D25" s="184">
        <f>SUM(E25:H25)</f>
        <v>0</v>
      </c>
      <c r="E25" s="187"/>
      <c r="F25" s="187"/>
      <c r="G25" s="187"/>
      <c r="H25" s="187"/>
      <c r="I25" s="184">
        <f>SUM(J25:M25)</f>
        <v>0</v>
      </c>
      <c r="J25" s="187"/>
      <c r="K25" s="187"/>
      <c r="L25" s="187"/>
      <c r="M25" s="187"/>
    </row>
    <row r="26" spans="1:13" s="74" customFormat="1" ht="12" customHeight="1">
      <c r="B26" s="85"/>
      <c r="C26" s="86"/>
      <c r="D26" s="86"/>
      <c r="E26" s="87"/>
      <c r="F26" s="87"/>
      <c r="G26" s="87"/>
      <c r="H26" s="87"/>
      <c r="I26" s="86"/>
      <c r="J26" s="87"/>
      <c r="K26" s="87"/>
      <c r="L26" s="87"/>
      <c r="M26" s="87"/>
    </row>
    <row r="27" spans="1:13" s="79" customFormat="1" ht="12" customHeight="1">
      <c r="A27" s="72"/>
      <c r="B27" s="110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</row>
    <row r="28" spans="1:13" s="79" customFormat="1" ht="15.6">
      <c r="A28" s="72"/>
      <c r="B28" s="146" t="s">
        <v>95</v>
      </c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</row>
    <row r="29" spans="1:13" s="79" customFormat="1" ht="15.6">
      <c r="A29" s="72"/>
      <c r="B29" s="146" t="s">
        <v>258</v>
      </c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</row>
    <row r="30" spans="1:13" s="79" customFormat="1" ht="15.6">
      <c r="A30" s="72"/>
      <c r="B30" s="148" t="s">
        <v>0</v>
      </c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8"/>
    </row>
    <row r="31" spans="1:13" s="79" customFormat="1" ht="25.95" customHeight="1">
      <c r="B31" s="145" t="s">
        <v>93</v>
      </c>
      <c r="C31" s="145"/>
      <c r="D31" s="144" t="s">
        <v>92</v>
      </c>
      <c r="E31" s="144"/>
      <c r="F31" s="144"/>
      <c r="G31" s="144"/>
      <c r="H31" s="144"/>
      <c r="I31" s="143" t="s">
        <v>205</v>
      </c>
      <c r="J31" s="143"/>
      <c r="K31" s="143"/>
      <c r="L31" s="143"/>
      <c r="M31" s="143"/>
    </row>
    <row r="32" spans="1:13" s="79" customFormat="1" ht="75" customHeight="1">
      <c r="B32" s="145"/>
      <c r="C32" s="145"/>
      <c r="D32" s="76" t="s">
        <v>91</v>
      </c>
      <c r="E32" s="77" t="s">
        <v>1</v>
      </c>
      <c r="F32" s="77" t="s">
        <v>2</v>
      </c>
      <c r="G32" s="77" t="s">
        <v>3</v>
      </c>
      <c r="H32" s="78" t="s">
        <v>354</v>
      </c>
      <c r="I32" s="78" t="s">
        <v>91</v>
      </c>
      <c r="J32" s="77" t="s">
        <v>1</v>
      </c>
      <c r="K32" s="77" t="s">
        <v>2</v>
      </c>
      <c r="L32" s="77" t="s">
        <v>3</v>
      </c>
      <c r="M32" s="78" t="s">
        <v>354</v>
      </c>
    </row>
    <row r="33" spans="1:13" s="79" customFormat="1" ht="15.6">
      <c r="B33" s="149">
        <v>1</v>
      </c>
      <c r="C33" s="150"/>
      <c r="D33" s="77">
        <v>2</v>
      </c>
      <c r="E33" s="77">
        <v>3</v>
      </c>
      <c r="F33" s="77">
        <v>4</v>
      </c>
      <c r="G33" s="77">
        <v>5</v>
      </c>
      <c r="H33" s="77">
        <v>6</v>
      </c>
      <c r="I33" s="77">
        <v>7</v>
      </c>
      <c r="J33" s="77">
        <v>8</v>
      </c>
      <c r="K33" s="77">
        <v>9</v>
      </c>
      <c r="L33" s="77">
        <v>10</v>
      </c>
      <c r="M33" s="77">
        <v>11</v>
      </c>
    </row>
    <row r="34" spans="1:13" s="79" customFormat="1" ht="15.6">
      <c r="A34" s="79" t="s">
        <v>55</v>
      </c>
      <c r="B34" s="80" t="s">
        <v>365</v>
      </c>
      <c r="C34" s="77" t="s">
        <v>71</v>
      </c>
      <c r="D34" s="184">
        <f>D35+D43+D49+D50</f>
        <v>0</v>
      </c>
      <c r="E34" s="184">
        <f>E35+E43+E49+E50</f>
        <v>0</v>
      </c>
      <c r="F34" s="184">
        <f t="shared" ref="F34:H34" si="8">F35+F43+F49+F50</f>
        <v>0</v>
      </c>
      <c r="G34" s="184">
        <f t="shared" si="8"/>
        <v>0</v>
      </c>
      <c r="H34" s="184">
        <f t="shared" si="8"/>
        <v>0</v>
      </c>
      <c r="I34" s="184">
        <f>I35+I43+I49+I50</f>
        <v>0</v>
      </c>
      <c r="J34" s="184">
        <f>J35+J43+J49+J50</f>
        <v>0</v>
      </c>
      <c r="K34" s="184">
        <f t="shared" ref="K34" si="9">K35+K43+K49+K50</f>
        <v>0</v>
      </c>
      <c r="L34" s="184">
        <f>L35+L43+L49+L50</f>
        <v>0</v>
      </c>
      <c r="M34" s="184">
        <f t="shared" ref="M34" si="10">M35+M43+M49+M50</f>
        <v>0</v>
      </c>
    </row>
    <row r="35" spans="1:13" s="79" customFormat="1" ht="15.6">
      <c r="A35" s="79" t="s">
        <v>63</v>
      </c>
      <c r="B35" s="81" t="s">
        <v>24</v>
      </c>
      <c r="C35" s="77" t="s">
        <v>55</v>
      </c>
      <c r="D35" s="184">
        <f>SUM(E35+F35+G35+H35)</f>
        <v>0</v>
      </c>
      <c r="E35" s="184">
        <f>SUM(E36:E42)</f>
        <v>0</v>
      </c>
      <c r="F35" s="184">
        <f t="shared" ref="F35:H35" si="11">SUM(F36:F42)</f>
        <v>0</v>
      </c>
      <c r="G35" s="184">
        <f t="shared" si="11"/>
        <v>0</v>
      </c>
      <c r="H35" s="184">
        <f t="shared" si="11"/>
        <v>0</v>
      </c>
      <c r="I35" s="184">
        <f>SUM(J35:M35)</f>
        <v>0</v>
      </c>
      <c r="J35" s="184">
        <f>SUM(J36:J42)</f>
        <v>0</v>
      </c>
      <c r="K35" s="184">
        <f t="shared" ref="K35" si="12">SUM(K36:K42)</f>
        <v>0</v>
      </c>
      <c r="L35" s="184">
        <f>SUM(L36:L42)</f>
        <v>0</v>
      </c>
      <c r="M35" s="184">
        <f t="shared" ref="M35" si="13">SUM(M36:M42)</f>
        <v>0</v>
      </c>
    </row>
    <row r="36" spans="1:13" s="79" customFormat="1" ht="15.6">
      <c r="A36" s="79" t="s">
        <v>69</v>
      </c>
      <c r="B36" s="82" t="s">
        <v>25</v>
      </c>
      <c r="C36" s="83" t="s">
        <v>56</v>
      </c>
      <c r="D36" s="185">
        <f>SUM(E36:H36)</f>
        <v>0</v>
      </c>
      <c r="E36" s="186"/>
      <c r="F36" s="186"/>
      <c r="G36" s="186"/>
      <c r="H36" s="186"/>
      <c r="I36" s="185">
        <f>SUM(J36:M36)</f>
        <v>0</v>
      </c>
      <c r="J36" s="186"/>
      <c r="K36" s="186"/>
      <c r="L36" s="186"/>
      <c r="M36" s="186"/>
    </row>
    <row r="37" spans="1:13" s="79" customFormat="1" ht="15.6">
      <c r="A37" s="79" t="s">
        <v>70</v>
      </c>
      <c r="B37" s="82" t="s">
        <v>26</v>
      </c>
      <c r="C37" s="83" t="s">
        <v>57</v>
      </c>
      <c r="D37" s="185">
        <f t="shared" ref="D37:D40" si="14">SUM(E37:H37)</f>
        <v>0</v>
      </c>
      <c r="E37" s="186"/>
      <c r="F37" s="186"/>
      <c r="G37" s="186"/>
      <c r="H37" s="186"/>
      <c r="I37" s="185">
        <f>SUM(J37:M37)</f>
        <v>0</v>
      </c>
      <c r="J37" s="186"/>
      <c r="K37" s="186"/>
      <c r="L37" s="186"/>
      <c r="M37" s="186"/>
    </row>
    <row r="38" spans="1:13" s="79" customFormat="1" ht="15.6">
      <c r="A38" s="79" t="s">
        <v>389</v>
      </c>
      <c r="B38" s="82" t="s">
        <v>27</v>
      </c>
      <c r="C38" s="83" t="s">
        <v>58</v>
      </c>
      <c r="D38" s="185">
        <f t="shared" si="14"/>
        <v>0</v>
      </c>
      <c r="E38" s="186"/>
      <c r="F38" s="186"/>
      <c r="G38" s="186"/>
      <c r="H38" s="186"/>
      <c r="I38" s="185">
        <f t="shared" ref="I38:I50" si="15">SUM(J38:M38)</f>
        <v>0</v>
      </c>
      <c r="J38" s="186"/>
      <c r="K38" s="186"/>
      <c r="L38" s="186"/>
      <c r="M38" s="186"/>
    </row>
    <row r="39" spans="1:13" s="79" customFormat="1" ht="15.6">
      <c r="A39" s="79" t="s">
        <v>390</v>
      </c>
      <c r="B39" s="82" t="s">
        <v>28</v>
      </c>
      <c r="C39" s="83" t="s">
        <v>59</v>
      </c>
      <c r="D39" s="185">
        <f t="shared" si="14"/>
        <v>0</v>
      </c>
      <c r="E39" s="186"/>
      <c r="F39" s="186"/>
      <c r="G39" s="186"/>
      <c r="H39" s="186"/>
      <c r="I39" s="185">
        <f t="shared" si="15"/>
        <v>0</v>
      </c>
      <c r="J39" s="186"/>
      <c r="K39" s="186"/>
      <c r="L39" s="186"/>
      <c r="M39" s="186"/>
    </row>
    <row r="40" spans="1:13" s="79" customFormat="1" ht="15.6">
      <c r="A40" s="79" t="s">
        <v>391</v>
      </c>
      <c r="B40" s="82" t="s">
        <v>29</v>
      </c>
      <c r="C40" s="83" t="s">
        <v>60</v>
      </c>
      <c r="D40" s="185">
        <f t="shared" si="14"/>
        <v>0</v>
      </c>
      <c r="E40" s="186"/>
      <c r="F40" s="186"/>
      <c r="G40" s="186"/>
      <c r="H40" s="186"/>
      <c r="I40" s="185">
        <f t="shared" si="15"/>
        <v>0</v>
      </c>
      <c r="J40" s="186"/>
      <c r="K40" s="186"/>
      <c r="L40" s="186"/>
      <c r="M40" s="186"/>
    </row>
    <row r="41" spans="1:13" s="79" customFormat="1" ht="15.6">
      <c r="A41" s="79" t="s">
        <v>392</v>
      </c>
      <c r="B41" s="82" t="s">
        <v>30</v>
      </c>
      <c r="C41" s="83" t="s">
        <v>61</v>
      </c>
      <c r="D41" s="185">
        <f>SUM(E41:H41)</f>
        <v>0</v>
      </c>
      <c r="E41" s="186"/>
      <c r="F41" s="186"/>
      <c r="G41" s="186"/>
      <c r="H41" s="186"/>
      <c r="I41" s="185">
        <f t="shared" si="15"/>
        <v>0</v>
      </c>
      <c r="J41" s="186"/>
      <c r="K41" s="186"/>
      <c r="L41" s="186"/>
      <c r="M41" s="186"/>
    </row>
    <row r="42" spans="1:13" s="79" customFormat="1" ht="15.6">
      <c r="A42" s="79" t="s">
        <v>393</v>
      </c>
      <c r="B42" s="82" t="s">
        <v>31</v>
      </c>
      <c r="C42" s="83" t="s">
        <v>62</v>
      </c>
      <c r="D42" s="185">
        <f t="shared" ref="D42" si="16">SUM(E42:H42)</f>
        <v>0</v>
      </c>
      <c r="E42" s="186"/>
      <c r="F42" s="186"/>
      <c r="G42" s="186"/>
      <c r="H42" s="186"/>
      <c r="I42" s="185">
        <f t="shared" si="15"/>
        <v>0</v>
      </c>
      <c r="J42" s="186"/>
      <c r="K42" s="186"/>
      <c r="L42" s="186"/>
      <c r="M42" s="186"/>
    </row>
    <row r="43" spans="1:13" s="79" customFormat="1" ht="15.6">
      <c r="A43" s="79" t="s">
        <v>411</v>
      </c>
      <c r="B43" s="81" t="s">
        <v>45</v>
      </c>
      <c r="C43" s="77" t="s">
        <v>63</v>
      </c>
      <c r="D43" s="184">
        <f>SUM(E43:H43)</f>
        <v>0</v>
      </c>
      <c r="E43" s="184">
        <f>SUM(E44:E48)</f>
        <v>0</v>
      </c>
      <c r="F43" s="184">
        <f t="shared" ref="F43:H43" si="17">SUM(F44:F48)</f>
        <v>0</v>
      </c>
      <c r="G43" s="184">
        <f t="shared" si="17"/>
        <v>0</v>
      </c>
      <c r="H43" s="184">
        <f t="shared" si="17"/>
        <v>0</v>
      </c>
      <c r="I43" s="184">
        <f t="shared" si="15"/>
        <v>0</v>
      </c>
      <c r="J43" s="184">
        <f>SUM(J44:J48)</f>
        <v>0</v>
      </c>
      <c r="K43" s="184">
        <f>SUM(K44:K48)</f>
        <v>0</v>
      </c>
      <c r="L43" s="184">
        <f>SUM(L44:L48)</f>
        <v>0</v>
      </c>
      <c r="M43" s="184">
        <f t="shared" ref="M43" si="18">SUM(M44:M48)</f>
        <v>0</v>
      </c>
    </row>
    <row r="44" spans="1:13" s="79" customFormat="1" ht="15.6">
      <c r="A44" s="79" t="s">
        <v>409</v>
      </c>
      <c r="B44" s="82" t="s">
        <v>46</v>
      </c>
      <c r="C44" s="83" t="s">
        <v>64</v>
      </c>
      <c r="D44" s="185">
        <f t="shared" ref="D44:D48" si="19">SUM(E44:H44)</f>
        <v>0</v>
      </c>
      <c r="E44" s="186"/>
      <c r="F44" s="186"/>
      <c r="G44" s="186"/>
      <c r="H44" s="186"/>
      <c r="I44" s="185">
        <f t="shared" si="15"/>
        <v>0</v>
      </c>
      <c r="J44" s="186"/>
      <c r="K44" s="186"/>
      <c r="L44" s="186"/>
      <c r="M44" s="186"/>
    </row>
    <row r="45" spans="1:13" s="79" customFormat="1" ht="15.6">
      <c r="A45" s="79" t="s">
        <v>412</v>
      </c>
      <c r="B45" s="82" t="s">
        <v>47</v>
      </c>
      <c r="C45" s="83" t="s">
        <v>65</v>
      </c>
      <c r="D45" s="185">
        <f t="shared" si="19"/>
        <v>0</v>
      </c>
      <c r="E45" s="186"/>
      <c r="F45" s="186"/>
      <c r="G45" s="186"/>
      <c r="H45" s="186"/>
      <c r="I45" s="185">
        <f t="shared" si="15"/>
        <v>0</v>
      </c>
      <c r="J45" s="186"/>
      <c r="K45" s="186"/>
      <c r="L45" s="186"/>
      <c r="M45" s="186"/>
    </row>
    <row r="46" spans="1:13" s="79" customFormat="1" ht="15.6">
      <c r="A46" s="79" t="s">
        <v>413</v>
      </c>
      <c r="B46" s="82" t="s">
        <v>48</v>
      </c>
      <c r="C46" s="83" t="s">
        <v>66</v>
      </c>
      <c r="D46" s="185">
        <f t="shared" si="19"/>
        <v>0</v>
      </c>
      <c r="E46" s="186"/>
      <c r="F46" s="186"/>
      <c r="G46" s="186"/>
      <c r="H46" s="186"/>
      <c r="I46" s="185">
        <f t="shared" si="15"/>
        <v>0</v>
      </c>
      <c r="J46" s="186"/>
      <c r="K46" s="186"/>
      <c r="L46" s="186"/>
      <c r="M46" s="186"/>
    </row>
    <row r="47" spans="1:13" s="79" customFormat="1" ht="15.6">
      <c r="A47" s="79" t="s">
        <v>414</v>
      </c>
      <c r="B47" s="82" t="s">
        <v>249</v>
      </c>
      <c r="C47" s="83" t="s">
        <v>67</v>
      </c>
      <c r="D47" s="185">
        <f t="shared" si="19"/>
        <v>0</v>
      </c>
      <c r="E47" s="186"/>
      <c r="F47" s="186"/>
      <c r="G47" s="186"/>
      <c r="H47" s="186"/>
      <c r="I47" s="185">
        <f t="shared" si="15"/>
        <v>0</v>
      </c>
      <c r="J47" s="186"/>
      <c r="K47" s="186"/>
      <c r="L47" s="186"/>
      <c r="M47" s="186"/>
    </row>
    <row r="48" spans="1:13" s="79" customFormat="1" ht="15.6">
      <c r="A48" s="79" t="s">
        <v>415</v>
      </c>
      <c r="B48" s="82" t="s">
        <v>49</v>
      </c>
      <c r="C48" s="83" t="s">
        <v>68</v>
      </c>
      <c r="D48" s="185">
        <f t="shared" si="19"/>
        <v>0</v>
      </c>
      <c r="E48" s="186"/>
      <c r="F48" s="186"/>
      <c r="G48" s="186"/>
      <c r="H48" s="186"/>
      <c r="I48" s="185">
        <f t="shared" si="15"/>
        <v>0</v>
      </c>
      <c r="J48" s="186"/>
      <c r="K48" s="186"/>
      <c r="L48" s="186"/>
      <c r="M48" s="186"/>
    </row>
    <row r="49" spans="1:13" s="79" customFormat="1" ht="15.6">
      <c r="A49" s="79" t="s">
        <v>416</v>
      </c>
      <c r="B49" s="84" t="s">
        <v>50</v>
      </c>
      <c r="C49" s="77" t="s">
        <v>69</v>
      </c>
      <c r="D49" s="184">
        <f>SUM(E49:H49)</f>
        <v>0</v>
      </c>
      <c r="E49" s="187"/>
      <c r="F49" s="187"/>
      <c r="G49" s="187"/>
      <c r="H49" s="187"/>
      <c r="I49" s="184">
        <f t="shared" si="15"/>
        <v>0</v>
      </c>
      <c r="J49" s="187"/>
      <c r="K49" s="187"/>
      <c r="L49" s="187"/>
      <c r="M49" s="187"/>
    </row>
    <row r="50" spans="1:13" s="79" customFormat="1" ht="15.6">
      <c r="A50" s="79" t="s">
        <v>417</v>
      </c>
      <c r="B50" s="84" t="s">
        <v>51</v>
      </c>
      <c r="C50" s="77" t="s">
        <v>70</v>
      </c>
      <c r="D50" s="184">
        <f>SUM(E50:H50)</f>
        <v>0</v>
      </c>
      <c r="E50" s="187"/>
      <c r="F50" s="187"/>
      <c r="G50" s="187"/>
      <c r="H50" s="187"/>
      <c r="I50" s="184">
        <f t="shared" si="15"/>
        <v>0</v>
      </c>
      <c r="J50" s="187"/>
      <c r="K50" s="187"/>
      <c r="L50" s="187"/>
      <c r="M50" s="187"/>
    </row>
    <row r="51" spans="1:13" s="79" customFormat="1" ht="15.6">
      <c r="B51" s="85"/>
      <c r="C51" s="86"/>
      <c r="D51" s="86"/>
      <c r="E51" s="73"/>
      <c r="F51" s="73"/>
      <c r="G51" s="73"/>
      <c r="H51" s="73"/>
      <c r="I51" s="86"/>
      <c r="J51" s="73"/>
      <c r="K51" s="73"/>
      <c r="L51" s="73"/>
      <c r="M51" s="73"/>
    </row>
    <row r="52" spans="1:13" s="79" customFormat="1" ht="15.6">
      <c r="B52" s="85"/>
      <c r="C52" s="86"/>
      <c r="D52" s="86"/>
      <c r="E52" s="73"/>
      <c r="F52" s="73"/>
      <c r="G52" s="73"/>
      <c r="H52" s="73"/>
      <c r="I52" s="86"/>
      <c r="J52" s="73"/>
      <c r="K52" s="73"/>
      <c r="L52" s="73"/>
      <c r="M52" s="73"/>
    </row>
    <row r="53" spans="1:13" s="79" customFormat="1" ht="15.6">
      <c r="A53" s="72"/>
      <c r="B53" s="146" t="s">
        <v>250</v>
      </c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</row>
    <row r="54" spans="1:13" s="79" customFormat="1" ht="15.6">
      <c r="A54" s="72"/>
      <c r="B54" s="146" t="s">
        <v>257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</row>
    <row r="55" spans="1:13" s="79" customFormat="1" ht="15.6">
      <c r="A55" s="72"/>
      <c r="B55" s="148" t="s">
        <v>0</v>
      </c>
      <c r="C55" s="148"/>
      <c r="D55" s="148"/>
      <c r="E55" s="148"/>
      <c r="F55" s="148"/>
      <c r="G55" s="148"/>
      <c r="H55" s="148"/>
      <c r="I55" s="148"/>
      <c r="J55" s="148"/>
      <c r="K55" s="148"/>
      <c r="L55" s="148"/>
      <c r="M55" s="148"/>
    </row>
    <row r="56" spans="1:13" s="79" customFormat="1" ht="22.2" customHeight="1">
      <c r="B56" s="145" t="s">
        <v>93</v>
      </c>
      <c r="C56" s="145"/>
      <c r="D56" s="144" t="s">
        <v>92</v>
      </c>
      <c r="E56" s="144"/>
      <c r="F56" s="144"/>
      <c r="G56" s="144"/>
      <c r="H56" s="144"/>
      <c r="I56" s="143" t="s">
        <v>205</v>
      </c>
      <c r="J56" s="143"/>
      <c r="K56" s="143"/>
      <c r="L56" s="143"/>
      <c r="M56" s="143"/>
    </row>
    <row r="57" spans="1:13" s="79" customFormat="1" ht="71.400000000000006" customHeight="1">
      <c r="B57" s="145"/>
      <c r="C57" s="145"/>
      <c r="D57" s="76" t="s">
        <v>91</v>
      </c>
      <c r="E57" s="77" t="s">
        <v>1</v>
      </c>
      <c r="F57" s="77" t="s">
        <v>2</v>
      </c>
      <c r="G57" s="77" t="s">
        <v>3</v>
      </c>
      <c r="H57" s="78" t="s">
        <v>354</v>
      </c>
      <c r="I57" s="78" t="s">
        <v>91</v>
      </c>
      <c r="J57" s="77" t="s">
        <v>1</v>
      </c>
      <c r="K57" s="77" t="s">
        <v>2</v>
      </c>
      <c r="L57" s="77" t="s">
        <v>3</v>
      </c>
      <c r="M57" s="78" t="s">
        <v>354</v>
      </c>
    </row>
    <row r="58" spans="1:13" s="79" customFormat="1" ht="15.6">
      <c r="B58" s="149">
        <v>1</v>
      </c>
      <c r="C58" s="150"/>
      <c r="D58" s="77">
        <v>2</v>
      </c>
      <c r="E58" s="77">
        <v>3</v>
      </c>
      <c r="F58" s="77">
        <v>4</v>
      </c>
      <c r="G58" s="77">
        <v>5</v>
      </c>
      <c r="H58" s="77">
        <v>6</v>
      </c>
      <c r="I58" s="77">
        <v>7</v>
      </c>
      <c r="J58" s="77">
        <v>8</v>
      </c>
      <c r="K58" s="77">
        <v>9</v>
      </c>
      <c r="L58" s="77">
        <v>10</v>
      </c>
      <c r="M58" s="77">
        <v>11</v>
      </c>
    </row>
    <row r="59" spans="1:13" s="79" customFormat="1" ht="15.6">
      <c r="A59" s="79" t="s">
        <v>72</v>
      </c>
      <c r="B59" s="80" t="s">
        <v>365</v>
      </c>
      <c r="C59" s="77" t="s">
        <v>88</v>
      </c>
      <c r="D59" s="184">
        <f>D60+D68+D74+D75</f>
        <v>0</v>
      </c>
      <c r="E59" s="184">
        <f>E60+E68+E74+E75</f>
        <v>0</v>
      </c>
      <c r="F59" s="184">
        <f t="shared" ref="F59:H59" si="20">F60+F68+F74+F75</f>
        <v>0</v>
      </c>
      <c r="G59" s="184">
        <f t="shared" si="20"/>
        <v>0</v>
      </c>
      <c r="H59" s="184">
        <f t="shared" si="20"/>
        <v>0</v>
      </c>
      <c r="I59" s="184">
        <f>I60+I68+I74+I75</f>
        <v>0</v>
      </c>
      <c r="J59" s="184">
        <f>J60+J68+J74+J75</f>
        <v>0</v>
      </c>
      <c r="K59" s="184">
        <f t="shared" ref="K59:L59" si="21">K60+K68+K74+K75</f>
        <v>0</v>
      </c>
      <c r="L59" s="184">
        <f t="shared" si="21"/>
        <v>0</v>
      </c>
      <c r="M59" s="184">
        <f t="shared" ref="M59" si="22">M60+M68+M74+M75</f>
        <v>0</v>
      </c>
    </row>
    <row r="60" spans="1:13" s="79" customFormat="1" ht="15.6">
      <c r="A60" s="79" t="s">
        <v>80</v>
      </c>
      <c r="B60" s="81" t="s">
        <v>24</v>
      </c>
      <c r="C60" s="77" t="s">
        <v>72</v>
      </c>
      <c r="D60" s="184">
        <f>SUM(E60+F60+G60+H60)</f>
        <v>0</v>
      </c>
      <c r="E60" s="184">
        <f>SUM(E61:E67)</f>
        <v>0</v>
      </c>
      <c r="F60" s="184">
        <f t="shared" ref="F60:H60" si="23">SUM(F61:F67)</f>
        <v>0</v>
      </c>
      <c r="G60" s="184">
        <f t="shared" si="23"/>
        <v>0</v>
      </c>
      <c r="H60" s="184">
        <f t="shared" si="23"/>
        <v>0</v>
      </c>
      <c r="I60" s="184">
        <f>SUM(J60:M60)</f>
        <v>0</v>
      </c>
      <c r="J60" s="184">
        <f>SUM(J61:J67)</f>
        <v>0</v>
      </c>
      <c r="K60" s="184">
        <f t="shared" ref="K60:L60" si="24">SUM(K61:K67)</f>
        <v>0</v>
      </c>
      <c r="L60" s="184">
        <f t="shared" si="24"/>
        <v>0</v>
      </c>
      <c r="M60" s="184">
        <f t="shared" ref="M60" si="25">SUM(M61:M67)</f>
        <v>0</v>
      </c>
    </row>
    <row r="61" spans="1:13" s="79" customFormat="1" ht="15.6">
      <c r="A61" s="79" t="s">
        <v>86</v>
      </c>
      <c r="B61" s="82" t="s">
        <v>25</v>
      </c>
      <c r="C61" s="83" t="s">
        <v>73</v>
      </c>
      <c r="D61" s="185">
        <f>SUM(E61:H61)</f>
        <v>0</v>
      </c>
      <c r="E61" s="186"/>
      <c r="F61" s="186"/>
      <c r="G61" s="186"/>
      <c r="H61" s="186"/>
      <c r="I61" s="185">
        <f>SUM(J61:M61)</f>
        <v>0</v>
      </c>
      <c r="J61" s="186"/>
      <c r="K61" s="186"/>
      <c r="L61" s="186"/>
      <c r="M61" s="186"/>
    </row>
    <row r="62" spans="1:13" s="79" customFormat="1" ht="15.6">
      <c r="A62" s="79" t="s">
        <v>87</v>
      </c>
      <c r="B62" s="82" t="s">
        <v>26</v>
      </c>
      <c r="C62" s="83" t="s">
        <v>74</v>
      </c>
      <c r="D62" s="185">
        <f t="shared" ref="D62:D65" si="26">SUM(E62:H62)</f>
        <v>0</v>
      </c>
      <c r="E62" s="186"/>
      <c r="F62" s="186"/>
      <c r="G62" s="186"/>
      <c r="H62" s="186"/>
      <c r="I62" s="185">
        <f>SUM(J62:M62)</f>
        <v>0</v>
      </c>
      <c r="J62" s="186"/>
      <c r="K62" s="186"/>
      <c r="L62" s="186"/>
      <c r="M62" s="186"/>
    </row>
    <row r="63" spans="1:13" s="79" customFormat="1" ht="15.6">
      <c r="A63" s="79" t="s">
        <v>419</v>
      </c>
      <c r="B63" s="82" t="s">
        <v>27</v>
      </c>
      <c r="C63" s="83" t="s">
        <v>75</v>
      </c>
      <c r="D63" s="185">
        <f t="shared" si="26"/>
        <v>0</v>
      </c>
      <c r="E63" s="186"/>
      <c r="F63" s="186"/>
      <c r="G63" s="186"/>
      <c r="H63" s="186"/>
      <c r="I63" s="185">
        <f t="shared" ref="I63:I75" si="27">SUM(J63:M63)</f>
        <v>0</v>
      </c>
      <c r="J63" s="186"/>
      <c r="K63" s="186"/>
      <c r="L63" s="186"/>
      <c r="M63" s="186"/>
    </row>
    <row r="64" spans="1:13" s="79" customFormat="1" ht="15.6">
      <c r="A64" s="79" t="s">
        <v>420</v>
      </c>
      <c r="B64" s="82" t="s">
        <v>28</v>
      </c>
      <c r="C64" s="83" t="s">
        <v>76</v>
      </c>
      <c r="D64" s="185">
        <f t="shared" si="26"/>
        <v>0</v>
      </c>
      <c r="E64" s="186"/>
      <c r="F64" s="186"/>
      <c r="G64" s="186"/>
      <c r="H64" s="186"/>
      <c r="I64" s="185">
        <f t="shared" si="27"/>
        <v>0</v>
      </c>
      <c r="J64" s="186"/>
      <c r="K64" s="186"/>
      <c r="L64" s="186"/>
      <c r="M64" s="186"/>
    </row>
    <row r="65" spans="1:13" s="79" customFormat="1" ht="15.6">
      <c r="A65" s="79" t="s">
        <v>421</v>
      </c>
      <c r="B65" s="82" t="s">
        <v>29</v>
      </c>
      <c r="C65" s="83" t="s">
        <v>77</v>
      </c>
      <c r="D65" s="185">
        <f t="shared" si="26"/>
        <v>0</v>
      </c>
      <c r="E65" s="186"/>
      <c r="F65" s="186"/>
      <c r="G65" s="186"/>
      <c r="H65" s="186"/>
      <c r="I65" s="185">
        <f t="shared" si="27"/>
        <v>0</v>
      </c>
      <c r="J65" s="186"/>
      <c r="K65" s="186"/>
      <c r="L65" s="186"/>
      <c r="M65" s="186"/>
    </row>
    <row r="66" spans="1:13" s="79" customFormat="1" ht="15.6">
      <c r="A66" s="79" t="s">
        <v>422</v>
      </c>
      <c r="B66" s="82" t="s">
        <v>30</v>
      </c>
      <c r="C66" s="83" t="s">
        <v>78</v>
      </c>
      <c r="D66" s="185">
        <f>SUM(E66:H66)</f>
        <v>0</v>
      </c>
      <c r="E66" s="186"/>
      <c r="F66" s="186"/>
      <c r="G66" s="186"/>
      <c r="H66" s="186"/>
      <c r="I66" s="185">
        <f t="shared" si="27"/>
        <v>0</v>
      </c>
      <c r="J66" s="186"/>
      <c r="K66" s="186"/>
      <c r="L66" s="186"/>
      <c r="M66" s="186"/>
    </row>
    <row r="67" spans="1:13" s="79" customFormat="1" ht="15.6">
      <c r="A67" s="79" t="s">
        <v>423</v>
      </c>
      <c r="B67" s="82" t="s">
        <v>31</v>
      </c>
      <c r="C67" s="83" t="s">
        <v>79</v>
      </c>
      <c r="D67" s="185">
        <f t="shared" ref="D67" si="28">SUM(E67:H67)</f>
        <v>0</v>
      </c>
      <c r="E67" s="186"/>
      <c r="F67" s="186"/>
      <c r="G67" s="186"/>
      <c r="H67" s="186"/>
      <c r="I67" s="185">
        <f t="shared" si="27"/>
        <v>0</v>
      </c>
      <c r="J67" s="186"/>
      <c r="K67" s="186"/>
      <c r="L67" s="186"/>
      <c r="M67" s="186"/>
    </row>
    <row r="68" spans="1:13" s="79" customFormat="1" ht="15.6">
      <c r="A68" s="79" t="s">
        <v>424</v>
      </c>
      <c r="B68" s="81" t="s">
        <v>45</v>
      </c>
      <c r="C68" s="77" t="s">
        <v>80</v>
      </c>
      <c r="D68" s="184">
        <f>SUM(E68:H68)</f>
        <v>0</v>
      </c>
      <c r="E68" s="184">
        <f>SUM(E69:E73)</f>
        <v>0</v>
      </c>
      <c r="F68" s="184">
        <f t="shared" ref="F68:H68" si="29">SUM(F69:F73)</f>
        <v>0</v>
      </c>
      <c r="G68" s="184">
        <f t="shared" si="29"/>
        <v>0</v>
      </c>
      <c r="H68" s="184">
        <f t="shared" si="29"/>
        <v>0</v>
      </c>
      <c r="I68" s="184">
        <f t="shared" si="27"/>
        <v>0</v>
      </c>
      <c r="J68" s="184">
        <f>SUM(J69:J73)</f>
        <v>0</v>
      </c>
      <c r="K68" s="184">
        <f t="shared" ref="K68:L68" si="30">SUM(K69:K73)</f>
        <v>0</v>
      </c>
      <c r="L68" s="184">
        <f t="shared" si="30"/>
        <v>0</v>
      </c>
      <c r="M68" s="184">
        <f t="shared" ref="M68" si="31">SUM(M69:M73)</f>
        <v>0</v>
      </c>
    </row>
    <row r="69" spans="1:13" s="79" customFormat="1" ht="15.6">
      <c r="A69" s="79" t="s">
        <v>418</v>
      </c>
      <c r="B69" s="82" t="s">
        <v>46</v>
      </c>
      <c r="C69" s="83" t="s">
        <v>81</v>
      </c>
      <c r="D69" s="185">
        <f t="shared" ref="D69:D73" si="32">SUM(E69:H69)</f>
        <v>0</v>
      </c>
      <c r="E69" s="186"/>
      <c r="F69" s="186"/>
      <c r="G69" s="186"/>
      <c r="H69" s="186"/>
      <c r="I69" s="185">
        <f t="shared" si="27"/>
        <v>0</v>
      </c>
      <c r="J69" s="186"/>
      <c r="K69" s="186"/>
      <c r="L69" s="186"/>
      <c r="M69" s="186"/>
    </row>
    <row r="70" spans="1:13" s="79" customFormat="1" ht="15.6">
      <c r="A70" s="79" t="s">
        <v>425</v>
      </c>
      <c r="B70" s="82" t="s">
        <v>47</v>
      </c>
      <c r="C70" s="83" t="s">
        <v>82</v>
      </c>
      <c r="D70" s="185">
        <f t="shared" si="32"/>
        <v>0</v>
      </c>
      <c r="E70" s="186"/>
      <c r="F70" s="186"/>
      <c r="G70" s="186"/>
      <c r="H70" s="186"/>
      <c r="I70" s="185">
        <f t="shared" si="27"/>
        <v>0</v>
      </c>
      <c r="J70" s="186"/>
      <c r="K70" s="186"/>
      <c r="L70" s="186"/>
      <c r="M70" s="186"/>
    </row>
    <row r="71" spans="1:13" s="79" customFormat="1" ht="15.6">
      <c r="A71" s="79" t="s">
        <v>426</v>
      </c>
      <c r="B71" s="82" t="s">
        <v>48</v>
      </c>
      <c r="C71" s="83" t="s">
        <v>83</v>
      </c>
      <c r="D71" s="185">
        <f t="shared" si="32"/>
        <v>0</v>
      </c>
      <c r="E71" s="186"/>
      <c r="F71" s="186"/>
      <c r="G71" s="186"/>
      <c r="H71" s="186"/>
      <c r="I71" s="185">
        <f t="shared" si="27"/>
        <v>0</v>
      </c>
      <c r="J71" s="186"/>
      <c r="K71" s="186"/>
      <c r="L71" s="186"/>
      <c r="M71" s="186"/>
    </row>
    <row r="72" spans="1:13" s="79" customFormat="1" ht="15.6">
      <c r="A72" s="79" t="s">
        <v>427</v>
      </c>
      <c r="B72" s="82" t="s">
        <v>249</v>
      </c>
      <c r="C72" s="83" t="s">
        <v>84</v>
      </c>
      <c r="D72" s="185">
        <f t="shared" si="32"/>
        <v>0</v>
      </c>
      <c r="E72" s="186"/>
      <c r="F72" s="186"/>
      <c r="G72" s="186"/>
      <c r="H72" s="186"/>
      <c r="I72" s="185">
        <f t="shared" si="27"/>
        <v>0</v>
      </c>
      <c r="J72" s="186"/>
      <c r="K72" s="186"/>
      <c r="L72" s="186"/>
      <c r="M72" s="186"/>
    </row>
    <row r="73" spans="1:13" s="79" customFormat="1" ht="15.6">
      <c r="A73" s="79" t="s">
        <v>428</v>
      </c>
      <c r="B73" s="82" t="s">
        <v>49</v>
      </c>
      <c r="C73" s="83" t="s">
        <v>85</v>
      </c>
      <c r="D73" s="185">
        <f t="shared" si="32"/>
        <v>0</v>
      </c>
      <c r="E73" s="186"/>
      <c r="F73" s="186"/>
      <c r="G73" s="186"/>
      <c r="H73" s="186"/>
      <c r="I73" s="185">
        <f t="shared" si="27"/>
        <v>0</v>
      </c>
      <c r="J73" s="186"/>
      <c r="K73" s="186"/>
      <c r="L73" s="186"/>
      <c r="M73" s="186"/>
    </row>
    <row r="74" spans="1:13" s="79" customFormat="1" ht="15.6">
      <c r="A74" s="79" t="s">
        <v>429</v>
      </c>
      <c r="B74" s="84" t="s">
        <v>50</v>
      </c>
      <c r="C74" s="77" t="s">
        <v>86</v>
      </c>
      <c r="D74" s="184">
        <f>SUM(E74:H74)</f>
        <v>0</v>
      </c>
      <c r="E74" s="186"/>
      <c r="F74" s="186"/>
      <c r="G74" s="186"/>
      <c r="H74" s="186"/>
      <c r="I74" s="184">
        <f t="shared" si="27"/>
        <v>0</v>
      </c>
      <c r="J74" s="186"/>
      <c r="K74" s="186"/>
      <c r="L74" s="186"/>
      <c r="M74" s="186"/>
    </row>
    <row r="75" spans="1:13" s="79" customFormat="1" ht="15.6">
      <c r="A75" s="79" t="s">
        <v>430</v>
      </c>
      <c r="B75" s="84" t="s">
        <v>51</v>
      </c>
      <c r="C75" s="77" t="s">
        <v>87</v>
      </c>
      <c r="D75" s="184">
        <f>SUM(E75:H75)</f>
        <v>0</v>
      </c>
      <c r="E75" s="186"/>
      <c r="F75" s="186"/>
      <c r="G75" s="186"/>
      <c r="H75" s="186"/>
      <c r="I75" s="184">
        <f t="shared" si="27"/>
        <v>0</v>
      </c>
      <c r="J75" s="186"/>
      <c r="K75" s="186"/>
      <c r="L75" s="186"/>
      <c r="M75" s="186"/>
    </row>
    <row r="76" spans="1:13" s="74" customFormat="1" ht="15.6">
      <c r="B76" s="85"/>
      <c r="C76" s="86"/>
      <c r="D76" s="86"/>
      <c r="E76" s="87"/>
      <c r="F76" s="87"/>
      <c r="G76" s="87"/>
      <c r="H76" s="87"/>
      <c r="I76" s="86"/>
      <c r="J76" s="87"/>
      <c r="K76" s="87"/>
      <c r="L76" s="87"/>
      <c r="M76" s="87"/>
    </row>
    <row r="77" spans="1:13" s="74" customFormat="1" ht="15.6">
      <c r="B77" s="85"/>
      <c r="C77" s="86"/>
      <c r="D77" s="86"/>
      <c r="E77" s="87"/>
      <c r="F77" s="87"/>
      <c r="G77" s="87"/>
      <c r="H77" s="87"/>
      <c r="I77" s="86"/>
      <c r="J77" s="87"/>
      <c r="K77" s="87"/>
      <c r="L77" s="87"/>
      <c r="M77" s="87"/>
    </row>
    <row r="78" spans="1:13" s="79" customFormat="1" ht="15.6">
      <c r="A78" s="72"/>
      <c r="B78" s="146" t="s">
        <v>251</v>
      </c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</row>
    <row r="79" spans="1:13" s="79" customFormat="1" ht="15.6">
      <c r="A79" s="72"/>
      <c r="B79" s="146" t="s">
        <v>258</v>
      </c>
      <c r="C79" s="146"/>
      <c r="D79" s="146"/>
      <c r="E79" s="146"/>
      <c r="F79" s="146"/>
      <c r="G79" s="146"/>
      <c r="H79" s="146"/>
      <c r="I79" s="146"/>
      <c r="J79" s="146"/>
      <c r="K79" s="146"/>
      <c r="L79" s="146"/>
      <c r="M79" s="146"/>
    </row>
    <row r="80" spans="1:13" s="79" customFormat="1" ht="15.6">
      <c r="A80" s="72"/>
      <c r="B80" s="148" t="s">
        <v>0</v>
      </c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</row>
    <row r="81" spans="1:13" s="79" customFormat="1" ht="21.6" customHeight="1">
      <c r="B81" s="145" t="s">
        <v>93</v>
      </c>
      <c r="C81" s="145"/>
      <c r="D81" s="144" t="s">
        <v>92</v>
      </c>
      <c r="E81" s="144"/>
      <c r="F81" s="144"/>
      <c r="G81" s="144"/>
      <c r="H81" s="144"/>
      <c r="I81" s="143" t="s">
        <v>205</v>
      </c>
      <c r="J81" s="143"/>
      <c r="K81" s="143"/>
      <c r="L81" s="143"/>
      <c r="M81" s="143"/>
    </row>
    <row r="82" spans="1:13" s="79" customFormat="1" ht="70.95" customHeight="1">
      <c r="B82" s="145"/>
      <c r="C82" s="145"/>
      <c r="D82" s="76" t="s">
        <v>91</v>
      </c>
      <c r="E82" s="77" t="s">
        <v>1</v>
      </c>
      <c r="F82" s="77" t="s">
        <v>2</v>
      </c>
      <c r="G82" s="77" t="s">
        <v>3</v>
      </c>
      <c r="H82" s="78" t="s">
        <v>354</v>
      </c>
      <c r="I82" s="78" t="s">
        <v>91</v>
      </c>
      <c r="J82" s="77" t="s">
        <v>1</v>
      </c>
      <c r="K82" s="77" t="s">
        <v>2</v>
      </c>
      <c r="L82" s="77" t="s">
        <v>3</v>
      </c>
      <c r="M82" s="78" t="s">
        <v>354</v>
      </c>
    </row>
    <row r="83" spans="1:13" s="79" customFormat="1" ht="15.6">
      <c r="B83" s="149">
        <v>1</v>
      </c>
      <c r="C83" s="150"/>
      <c r="D83" s="77">
        <v>2</v>
      </c>
      <c r="E83" s="77">
        <v>3</v>
      </c>
      <c r="F83" s="77">
        <v>4</v>
      </c>
      <c r="G83" s="77">
        <v>5</v>
      </c>
      <c r="H83" s="77">
        <v>6</v>
      </c>
      <c r="I83" s="77">
        <v>7</v>
      </c>
      <c r="J83" s="77">
        <v>8</v>
      </c>
      <c r="K83" s="77">
        <v>9</v>
      </c>
      <c r="L83" s="77">
        <v>10</v>
      </c>
      <c r="M83" s="77">
        <v>11</v>
      </c>
    </row>
    <row r="84" spans="1:13" s="79" customFormat="1" ht="15.6">
      <c r="A84" s="79" t="s">
        <v>97</v>
      </c>
      <c r="B84" s="80" t="s">
        <v>365</v>
      </c>
      <c r="C84" s="77" t="s">
        <v>96</v>
      </c>
      <c r="D84" s="184">
        <f>D85+D93+D99+D100</f>
        <v>0</v>
      </c>
      <c r="E84" s="184">
        <f>E85+E93+E99+E100</f>
        <v>0</v>
      </c>
      <c r="F84" s="184">
        <f t="shared" ref="F84:H84" si="33">F85+F93+F99+F100</f>
        <v>0</v>
      </c>
      <c r="G84" s="184">
        <f t="shared" si="33"/>
        <v>0</v>
      </c>
      <c r="H84" s="184">
        <f t="shared" si="33"/>
        <v>0</v>
      </c>
      <c r="I84" s="184">
        <f>I85+I93+I99+I100</f>
        <v>0</v>
      </c>
      <c r="J84" s="184">
        <f>J85+J93+J99+J100</f>
        <v>0</v>
      </c>
      <c r="K84" s="184">
        <f t="shared" ref="K84:L84" si="34">K85+K93+K99+K100</f>
        <v>0</v>
      </c>
      <c r="L84" s="184">
        <f t="shared" si="34"/>
        <v>0</v>
      </c>
      <c r="M84" s="184">
        <f t="shared" ref="M84" si="35">M85+M93+M99+M100</f>
        <v>0</v>
      </c>
    </row>
    <row r="85" spans="1:13" s="79" customFormat="1" ht="15.6">
      <c r="A85" s="79" t="s">
        <v>105</v>
      </c>
      <c r="B85" s="81" t="s">
        <v>24</v>
      </c>
      <c r="C85" s="77" t="s">
        <v>97</v>
      </c>
      <c r="D85" s="184">
        <f>SUM(E85+F85+G85+H85)</f>
        <v>0</v>
      </c>
      <c r="E85" s="184">
        <f>SUM(E86:E92)</f>
        <v>0</v>
      </c>
      <c r="F85" s="184">
        <f t="shared" ref="F85:H85" si="36">SUM(F86:F92)</f>
        <v>0</v>
      </c>
      <c r="G85" s="184">
        <f t="shared" si="36"/>
        <v>0</v>
      </c>
      <c r="H85" s="184">
        <f t="shared" si="36"/>
        <v>0</v>
      </c>
      <c r="I85" s="184">
        <f>SUM(J85:M85)</f>
        <v>0</v>
      </c>
      <c r="J85" s="184">
        <f>SUM(J86:J92)</f>
        <v>0</v>
      </c>
      <c r="K85" s="184">
        <f t="shared" ref="K85:L85" si="37">SUM(K86:K92)</f>
        <v>0</v>
      </c>
      <c r="L85" s="184">
        <f t="shared" si="37"/>
        <v>0</v>
      </c>
      <c r="M85" s="184">
        <f t="shared" ref="M85" si="38">SUM(M86:M92)</f>
        <v>0</v>
      </c>
    </row>
    <row r="86" spans="1:13" s="79" customFormat="1" ht="15.6">
      <c r="A86" s="79" t="s">
        <v>111</v>
      </c>
      <c r="B86" s="82" t="s">
        <v>25</v>
      </c>
      <c r="C86" s="83" t="s">
        <v>98</v>
      </c>
      <c r="D86" s="185">
        <f>SUM(E86:H86)</f>
        <v>0</v>
      </c>
      <c r="E86" s="186"/>
      <c r="F86" s="186"/>
      <c r="G86" s="186"/>
      <c r="H86" s="186"/>
      <c r="I86" s="185">
        <f>SUM(J86:M86)</f>
        <v>0</v>
      </c>
      <c r="J86" s="186"/>
      <c r="K86" s="186"/>
      <c r="L86" s="186"/>
      <c r="M86" s="186"/>
    </row>
    <row r="87" spans="1:13" s="79" customFormat="1" ht="15.6">
      <c r="A87" s="79" t="s">
        <v>112</v>
      </c>
      <c r="B87" s="82" t="s">
        <v>26</v>
      </c>
      <c r="C87" s="83" t="s">
        <v>99</v>
      </c>
      <c r="D87" s="185">
        <f t="shared" ref="D87:D90" si="39">SUM(E87:H87)</f>
        <v>0</v>
      </c>
      <c r="E87" s="186"/>
      <c r="F87" s="186"/>
      <c r="G87" s="186"/>
      <c r="H87" s="186"/>
      <c r="I87" s="185">
        <f>SUM(J87:M87)</f>
        <v>0</v>
      </c>
      <c r="J87" s="186"/>
      <c r="K87" s="186"/>
      <c r="L87" s="186"/>
      <c r="M87" s="186"/>
    </row>
    <row r="88" spans="1:13" s="79" customFormat="1" ht="15.6">
      <c r="A88" s="79" t="s">
        <v>432</v>
      </c>
      <c r="B88" s="82" t="s">
        <v>27</v>
      </c>
      <c r="C88" s="83" t="s">
        <v>100</v>
      </c>
      <c r="D88" s="185">
        <f t="shared" si="39"/>
        <v>0</v>
      </c>
      <c r="E88" s="186"/>
      <c r="F88" s="186"/>
      <c r="G88" s="186"/>
      <c r="H88" s="186"/>
      <c r="I88" s="185">
        <f t="shared" ref="I88:I100" si="40">SUM(J88:M88)</f>
        <v>0</v>
      </c>
      <c r="J88" s="186"/>
      <c r="K88" s="186"/>
      <c r="L88" s="186"/>
      <c r="M88" s="186"/>
    </row>
    <row r="89" spans="1:13" s="79" customFormat="1" ht="15.6">
      <c r="A89" s="79" t="s">
        <v>433</v>
      </c>
      <c r="B89" s="82" t="s">
        <v>28</v>
      </c>
      <c r="C89" s="83" t="s">
        <v>101</v>
      </c>
      <c r="D89" s="185">
        <f t="shared" si="39"/>
        <v>0</v>
      </c>
      <c r="E89" s="186"/>
      <c r="F89" s="186"/>
      <c r="G89" s="186"/>
      <c r="H89" s="186"/>
      <c r="I89" s="185">
        <f t="shared" si="40"/>
        <v>0</v>
      </c>
      <c r="J89" s="186"/>
      <c r="K89" s="186"/>
      <c r="L89" s="186"/>
      <c r="M89" s="186"/>
    </row>
    <row r="90" spans="1:13" s="79" customFormat="1" ht="15.6">
      <c r="A90" s="79" t="s">
        <v>434</v>
      </c>
      <c r="B90" s="82" t="s">
        <v>29</v>
      </c>
      <c r="C90" s="83" t="s">
        <v>102</v>
      </c>
      <c r="D90" s="185">
        <f t="shared" si="39"/>
        <v>0</v>
      </c>
      <c r="E90" s="186"/>
      <c r="F90" s="186"/>
      <c r="G90" s="186"/>
      <c r="H90" s="186"/>
      <c r="I90" s="185">
        <f>SUM(J90:M90)</f>
        <v>0</v>
      </c>
      <c r="J90" s="186"/>
      <c r="K90" s="186"/>
      <c r="L90" s="186"/>
      <c r="M90" s="186"/>
    </row>
    <row r="91" spans="1:13" s="79" customFormat="1" ht="15.6">
      <c r="A91" s="79" t="s">
        <v>435</v>
      </c>
      <c r="B91" s="82" t="s">
        <v>30</v>
      </c>
      <c r="C91" s="83" t="s">
        <v>103</v>
      </c>
      <c r="D91" s="185">
        <f>SUM(E91:H91)</f>
        <v>0</v>
      </c>
      <c r="E91" s="186"/>
      <c r="F91" s="186"/>
      <c r="G91" s="186"/>
      <c r="H91" s="186"/>
      <c r="I91" s="185">
        <f t="shared" si="40"/>
        <v>0</v>
      </c>
      <c r="J91" s="186"/>
      <c r="K91" s="186"/>
      <c r="L91" s="186"/>
      <c r="M91" s="186"/>
    </row>
    <row r="92" spans="1:13" s="79" customFormat="1" ht="15.6">
      <c r="A92" s="79" t="s">
        <v>436</v>
      </c>
      <c r="B92" s="82" t="s">
        <v>31</v>
      </c>
      <c r="C92" s="83" t="s">
        <v>104</v>
      </c>
      <c r="D92" s="185">
        <f t="shared" ref="D92" si="41">SUM(E92:H92)</f>
        <v>0</v>
      </c>
      <c r="E92" s="186"/>
      <c r="F92" s="186"/>
      <c r="G92" s="186"/>
      <c r="H92" s="186"/>
      <c r="I92" s="185">
        <f t="shared" si="40"/>
        <v>0</v>
      </c>
      <c r="J92" s="186"/>
      <c r="K92" s="186"/>
      <c r="L92" s="186"/>
      <c r="M92" s="186"/>
    </row>
    <row r="93" spans="1:13" s="79" customFormat="1" ht="15.6">
      <c r="A93" s="79" t="s">
        <v>437</v>
      </c>
      <c r="B93" s="81" t="s">
        <v>45</v>
      </c>
      <c r="C93" s="77" t="s">
        <v>105</v>
      </c>
      <c r="D93" s="184">
        <f>SUM(E93:H93)</f>
        <v>0</v>
      </c>
      <c r="E93" s="184">
        <f>SUM(E94:E98)</f>
        <v>0</v>
      </c>
      <c r="F93" s="184">
        <f t="shared" ref="F93:H93" si="42">SUM(F94:F98)</f>
        <v>0</v>
      </c>
      <c r="G93" s="184">
        <f t="shared" si="42"/>
        <v>0</v>
      </c>
      <c r="H93" s="184">
        <f t="shared" si="42"/>
        <v>0</v>
      </c>
      <c r="I93" s="184">
        <f t="shared" si="40"/>
        <v>0</v>
      </c>
      <c r="J93" s="184">
        <f>SUM(J94:J98)</f>
        <v>0</v>
      </c>
      <c r="K93" s="184">
        <f t="shared" ref="K93:L93" si="43">SUM(K94:K98)</f>
        <v>0</v>
      </c>
      <c r="L93" s="184">
        <f t="shared" si="43"/>
        <v>0</v>
      </c>
      <c r="M93" s="184">
        <f t="shared" ref="M93" si="44">SUM(M94:M98)</f>
        <v>0</v>
      </c>
    </row>
    <row r="94" spans="1:13" s="79" customFormat="1" ht="15.6">
      <c r="A94" s="79" t="s">
        <v>431</v>
      </c>
      <c r="B94" s="82" t="s">
        <v>46</v>
      </c>
      <c r="C94" s="83" t="s">
        <v>106</v>
      </c>
      <c r="D94" s="185">
        <f t="shared" ref="D94:D98" si="45">SUM(E94:H94)</f>
        <v>0</v>
      </c>
      <c r="E94" s="186"/>
      <c r="F94" s="186"/>
      <c r="G94" s="186"/>
      <c r="H94" s="186"/>
      <c r="I94" s="185">
        <f t="shared" si="40"/>
        <v>0</v>
      </c>
      <c r="J94" s="186"/>
      <c r="K94" s="186"/>
      <c r="L94" s="186"/>
      <c r="M94" s="186"/>
    </row>
    <row r="95" spans="1:13" s="79" customFormat="1" ht="15.6">
      <c r="A95" s="79" t="s">
        <v>438</v>
      </c>
      <c r="B95" s="82" t="s">
        <v>47</v>
      </c>
      <c r="C95" s="83" t="s">
        <v>107</v>
      </c>
      <c r="D95" s="185">
        <f t="shared" si="45"/>
        <v>0</v>
      </c>
      <c r="E95" s="186"/>
      <c r="F95" s="186"/>
      <c r="G95" s="186"/>
      <c r="H95" s="186"/>
      <c r="I95" s="185">
        <f t="shared" si="40"/>
        <v>0</v>
      </c>
      <c r="J95" s="186"/>
      <c r="K95" s="186"/>
      <c r="L95" s="186"/>
      <c r="M95" s="186"/>
    </row>
    <row r="96" spans="1:13" s="79" customFormat="1" ht="15.6">
      <c r="A96" s="79" t="s">
        <v>439</v>
      </c>
      <c r="B96" s="82" t="s">
        <v>48</v>
      </c>
      <c r="C96" s="83" t="s">
        <v>108</v>
      </c>
      <c r="D96" s="185">
        <f t="shared" si="45"/>
        <v>0</v>
      </c>
      <c r="E96" s="186"/>
      <c r="F96" s="186"/>
      <c r="G96" s="186"/>
      <c r="H96" s="186"/>
      <c r="I96" s="185">
        <f t="shared" si="40"/>
        <v>0</v>
      </c>
      <c r="J96" s="186"/>
      <c r="K96" s="186"/>
      <c r="L96" s="186"/>
      <c r="M96" s="186"/>
    </row>
    <row r="97" spans="1:13" s="79" customFormat="1" ht="15.6">
      <c r="A97" s="79" t="s">
        <v>440</v>
      </c>
      <c r="B97" s="82" t="s">
        <v>249</v>
      </c>
      <c r="C97" s="83" t="s">
        <v>109</v>
      </c>
      <c r="D97" s="185">
        <f t="shared" si="45"/>
        <v>0</v>
      </c>
      <c r="E97" s="186"/>
      <c r="F97" s="186"/>
      <c r="G97" s="186"/>
      <c r="H97" s="186"/>
      <c r="I97" s="185">
        <f t="shared" si="40"/>
        <v>0</v>
      </c>
      <c r="J97" s="186"/>
      <c r="K97" s="186"/>
      <c r="L97" s="186"/>
      <c r="M97" s="186"/>
    </row>
    <row r="98" spans="1:13" s="79" customFormat="1" ht="15.6">
      <c r="A98" s="79" t="s">
        <v>441</v>
      </c>
      <c r="B98" s="82" t="s">
        <v>49</v>
      </c>
      <c r="C98" s="83" t="s">
        <v>110</v>
      </c>
      <c r="D98" s="185">
        <f t="shared" si="45"/>
        <v>0</v>
      </c>
      <c r="E98" s="186"/>
      <c r="F98" s="186"/>
      <c r="G98" s="186"/>
      <c r="H98" s="186"/>
      <c r="I98" s="185">
        <f t="shared" si="40"/>
        <v>0</v>
      </c>
      <c r="J98" s="186"/>
      <c r="K98" s="186"/>
      <c r="L98" s="186"/>
      <c r="M98" s="186"/>
    </row>
    <row r="99" spans="1:13" s="79" customFormat="1" ht="15.6">
      <c r="A99" s="79" t="s">
        <v>442</v>
      </c>
      <c r="B99" s="84" t="s">
        <v>50</v>
      </c>
      <c r="C99" s="77" t="s">
        <v>111</v>
      </c>
      <c r="D99" s="184">
        <f>SUM(E99:H99)</f>
        <v>0</v>
      </c>
      <c r="E99" s="187"/>
      <c r="F99" s="187"/>
      <c r="G99" s="187"/>
      <c r="H99" s="187"/>
      <c r="I99" s="184">
        <f t="shared" si="40"/>
        <v>0</v>
      </c>
      <c r="J99" s="187"/>
      <c r="K99" s="187"/>
      <c r="L99" s="187"/>
      <c r="M99" s="187"/>
    </row>
    <row r="100" spans="1:13" s="79" customFormat="1" ht="15.6">
      <c r="A100" s="79" t="s">
        <v>443</v>
      </c>
      <c r="B100" s="84" t="s">
        <v>51</v>
      </c>
      <c r="C100" s="77" t="s">
        <v>112</v>
      </c>
      <c r="D100" s="184">
        <f>SUM(E100:H100)</f>
        <v>0</v>
      </c>
      <c r="E100" s="187"/>
      <c r="F100" s="187"/>
      <c r="G100" s="187"/>
      <c r="H100" s="187"/>
      <c r="I100" s="184">
        <f t="shared" si="40"/>
        <v>0</v>
      </c>
      <c r="J100" s="187"/>
      <c r="K100" s="187"/>
      <c r="L100" s="187"/>
      <c r="M100" s="187"/>
    </row>
    <row r="101" spans="1:13" s="74" customFormat="1" ht="15.6">
      <c r="A101" s="131"/>
      <c r="B101" s="85"/>
      <c r="C101" s="86"/>
      <c r="D101" s="86"/>
      <c r="E101" s="87"/>
      <c r="F101" s="87"/>
      <c r="G101" s="87"/>
      <c r="H101" s="87"/>
      <c r="I101" s="86"/>
      <c r="J101" s="87"/>
      <c r="K101" s="87"/>
      <c r="L101" s="87"/>
      <c r="M101" s="87"/>
    </row>
    <row r="102" spans="1:13" s="79" customFormat="1" ht="15.6">
      <c r="A102" s="72"/>
      <c r="B102" s="110"/>
      <c r="C102" s="88"/>
      <c r="D102" s="89"/>
      <c r="E102" s="89"/>
      <c r="F102" s="89"/>
      <c r="G102" s="89"/>
      <c r="H102" s="89"/>
      <c r="I102" s="89"/>
      <c r="J102" s="89"/>
      <c r="K102" s="89"/>
      <c r="L102" s="89"/>
      <c r="M102" s="89"/>
    </row>
    <row r="103" spans="1:13" s="79" customFormat="1" ht="42" customHeight="1">
      <c r="A103" s="72"/>
      <c r="B103" s="153" t="s">
        <v>252</v>
      </c>
      <c r="C103" s="153"/>
      <c r="D103" s="153"/>
      <c r="E103" s="90"/>
      <c r="F103" s="90"/>
      <c r="G103" s="90"/>
      <c r="H103" s="90"/>
      <c r="I103" s="90"/>
      <c r="J103" s="90"/>
      <c r="K103" s="90"/>
      <c r="L103" s="90"/>
      <c r="M103" s="90"/>
    </row>
    <row r="104" spans="1:13" s="79" customFormat="1" ht="15.6">
      <c r="A104" s="72"/>
      <c r="B104" s="146" t="s">
        <v>257</v>
      </c>
      <c r="C104" s="146"/>
      <c r="D104" s="146"/>
      <c r="E104" s="85"/>
      <c r="F104" s="85"/>
      <c r="G104" s="85"/>
      <c r="H104" s="85"/>
      <c r="I104" s="85"/>
      <c r="J104" s="85"/>
      <c r="K104" s="85"/>
      <c r="L104" s="85"/>
      <c r="M104" s="85"/>
    </row>
    <row r="105" spans="1:13" s="79" customFormat="1" ht="15.6">
      <c r="C105" s="91"/>
      <c r="D105" s="92" t="s">
        <v>0</v>
      </c>
      <c r="E105" s="91"/>
      <c r="F105" s="91"/>
      <c r="G105" s="91"/>
      <c r="H105" s="91"/>
      <c r="I105" s="91"/>
      <c r="J105" s="91"/>
      <c r="K105" s="91"/>
      <c r="L105" s="91"/>
      <c r="M105" s="91"/>
    </row>
    <row r="106" spans="1:13" s="79" customFormat="1" ht="15.6">
      <c r="B106" s="77" t="s">
        <v>93</v>
      </c>
      <c r="C106" s="76"/>
      <c r="D106" s="76"/>
      <c r="E106" s="89"/>
      <c r="F106" s="89"/>
      <c r="G106" s="89"/>
      <c r="H106" s="89"/>
      <c r="I106" s="89"/>
      <c r="J106" s="89"/>
      <c r="K106" s="89"/>
      <c r="L106" s="89"/>
      <c r="M106" s="89"/>
    </row>
    <row r="107" spans="1:13" s="79" customFormat="1" ht="15.6">
      <c r="B107" s="77">
        <v>1</v>
      </c>
      <c r="C107" s="76"/>
      <c r="D107" s="77">
        <v>2</v>
      </c>
      <c r="F107" s="89"/>
      <c r="G107" s="89"/>
      <c r="H107" s="89"/>
      <c r="I107" s="89"/>
      <c r="J107" s="89"/>
      <c r="K107" s="89"/>
      <c r="L107" s="89"/>
      <c r="M107" s="89"/>
    </row>
    <row r="108" spans="1:13" s="79" customFormat="1" ht="15.6">
      <c r="A108" s="79" t="s">
        <v>114</v>
      </c>
      <c r="B108" s="80" t="s">
        <v>365</v>
      </c>
      <c r="C108" s="77" t="s">
        <v>113</v>
      </c>
      <c r="D108" s="184">
        <f>D109+D117+D123+D124</f>
        <v>0</v>
      </c>
      <c r="F108" s="89"/>
      <c r="G108" s="89"/>
      <c r="H108" s="89"/>
      <c r="I108" s="89"/>
      <c r="J108" s="89"/>
      <c r="K108" s="89"/>
      <c r="L108" s="89"/>
      <c r="M108" s="89"/>
    </row>
    <row r="109" spans="1:13" s="79" customFormat="1" ht="15.6">
      <c r="A109" s="79" t="s">
        <v>122</v>
      </c>
      <c r="B109" s="81" t="s">
        <v>24</v>
      </c>
      <c r="C109" s="77" t="s">
        <v>114</v>
      </c>
      <c r="D109" s="184">
        <f>SUM(D110:D116)</f>
        <v>0</v>
      </c>
      <c r="E109" s="89"/>
      <c r="F109" s="89"/>
      <c r="G109" s="89"/>
      <c r="H109" s="89"/>
      <c r="I109" s="89"/>
      <c r="J109" s="89"/>
      <c r="K109" s="89"/>
      <c r="L109" s="89"/>
      <c r="M109" s="89"/>
    </row>
    <row r="110" spans="1:13" s="79" customFormat="1" ht="15.6">
      <c r="A110" s="79" t="s">
        <v>128</v>
      </c>
      <c r="B110" s="93" t="s">
        <v>25</v>
      </c>
      <c r="C110" s="83" t="s">
        <v>115</v>
      </c>
      <c r="D110" s="186"/>
      <c r="E110" s="89"/>
      <c r="F110" s="89"/>
      <c r="G110" s="89"/>
      <c r="H110" s="89"/>
      <c r="I110" s="89"/>
      <c r="J110" s="89"/>
      <c r="K110" s="89"/>
      <c r="L110" s="89"/>
      <c r="M110" s="89"/>
    </row>
    <row r="111" spans="1:13" s="79" customFormat="1" ht="15.6">
      <c r="A111" s="79" t="s">
        <v>129</v>
      </c>
      <c r="B111" s="93" t="s">
        <v>26</v>
      </c>
      <c r="C111" s="83" t="s">
        <v>116</v>
      </c>
      <c r="D111" s="186"/>
      <c r="E111" s="89"/>
      <c r="F111" s="89"/>
      <c r="G111" s="89"/>
      <c r="H111" s="89"/>
      <c r="I111" s="89"/>
      <c r="J111" s="89"/>
      <c r="K111" s="89"/>
      <c r="L111" s="89"/>
      <c r="M111" s="89"/>
    </row>
    <row r="112" spans="1:13" s="79" customFormat="1" ht="15.6">
      <c r="A112" s="79" t="s">
        <v>445</v>
      </c>
      <c r="B112" s="93" t="s">
        <v>27</v>
      </c>
      <c r="C112" s="83" t="s">
        <v>117</v>
      </c>
      <c r="D112" s="186"/>
      <c r="E112" s="89"/>
      <c r="F112" s="89"/>
      <c r="G112" s="89"/>
      <c r="H112" s="89"/>
      <c r="I112" s="89"/>
      <c r="J112" s="89"/>
      <c r="K112" s="89"/>
      <c r="L112" s="89"/>
      <c r="M112" s="89"/>
    </row>
    <row r="113" spans="1:13" s="79" customFormat="1" ht="15.6">
      <c r="A113" s="79" t="s">
        <v>446</v>
      </c>
      <c r="B113" s="93" t="s">
        <v>28</v>
      </c>
      <c r="C113" s="83" t="s">
        <v>118</v>
      </c>
      <c r="D113" s="186"/>
      <c r="E113" s="89"/>
      <c r="F113" s="89"/>
      <c r="G113" s="89"/>
      <c r="H113" s="89"/>
      <c r="I113" s="89"/>
      <c r="J113" s="89"/>
      <c r="K113" s="89"/>
      <c r="L113" s="89"/>
      <c r="M113" s="89"/>
    </row>
    <row r="114" spans="1:13" s="79" customFormat="1" ht="15.6">
      <c r="A114" s="79" t="s">
        <v>447</v>
      </c>
      <c r="B114" s="93" t="s">
        <v>29</v>
      </c>
      <c r="C114" s="83" t="s">
        <v>119</v>
      </c>
      <c r="D114" s="186"/>
      <c r="E114" s="89"/>
      <c r="F114" s="89"/>
      <c r="G114" s="89"/>
      <c r="H114" s="89"/>
      <c r="I114" s="89"/>
      <c r="J114" s="89"/>
      <c r="K114" s="89"/>
      <c r="L114" s="89"/>
      <c r="M114" s="89"/>
    </row>
    <row r="115" spans="1:13" s="79" customFormat="1" ht="15.6">
      <c r="A115" s="79" t="s">
        <v>448</v>
      </c>
      <c r="B115" s="93" t="s">
        <v>30</v>
      </c>
      <c r="C115" s="83" t="s">
        <v>120</v>
      </c>
      <c r="D115" s="186"/>
      <c r="E115" s="89"/>
      <c r="F115" s="89"/>
      <c r="G115" s="89"/>
      <c r="H115" s="89"/>
      <c r="I115" s="89"/>
      <c r="J115" s="89"/>
      <c r="K115" s="89"/>
      <c r="L115" s="89"/>
      <c r="M115" s="89"/>
    </row>
    <row r="116" spans="1:13" s="79" customFormat="1" ht="15.6">
      <c r="A116" s="79" t="s">
        <v>449</v>
      </c>
      <c r="B116" s="93" t="s">
        <v>31</v>
      </c>
      <c r="C116" s="83" t="s">
        <v>121</v>
      </c>
      <c r="D116" s="186"/>
      <c r="E116" s="89"/>
      <c r="F116" s="89"/>
      <c r="G116" s="89"/>
      <c r="H116" s="89"/>
      <c r="I116" s="89"/>
      <c r="J116" s="89"/>
      <c r="K116" s="89"/>
      <c r="L116" s="89"/>
      <c r="M116" s="89"/>
    </row>
    <row r="117" spans="1:13" s="79" customFormat="1" ht="15.6">
      <c r="A117" s="79" t="s">
        <v>450</v>
      </c>
      <c r="B117" s="81" t="s">
        <v>45</v>
      </c>
      <c r="C117" s="77" t="s">
        <v>122</v>
      </c>
      <c r="D117" s="184">
        <f>SUM(D118:D122)</f>
        <v>0</v>
      </c>
      <c r="E117" s="89"/>
      <c r="F117" s="89"/>
      <c r="G117" s="89"/>
      <c r="H117" s="89"/>
      <c r="I117" s="89"/>
      <c r="J117" s="89"/>
      <c r="K117" s="89"/>
      <c r="L117" s="89"/>
      <c r="M117" s="89"/>
    </row>
    <row r="118" spans="1:13" s="79" customFormat="1" ht="15.6">
      <c r="A118" s="79" t="s">
        <v>444</v>
      </c>
      <c r="B118" s="93" t="s">
        <v>46</v>
      </c>
      <c r="C118" s="83" t="s">
        <v>123</v>
      </c>
      <c r="D118" s="186"/>
      <c r="E118" s="89"/>
      <c r="F118" s="89"/>
      <c r="G118" s="89"/>
      <c r="H118" s="89"/>
      <c r="I118" s="89"/>
      <c r="J118" s="89"/>
      <c r="K118" s="89"/>
      <c r="L118" s="89"/>
      <c r="M118" s="89"/>
    </row>
    <row r="119" spans="1:13" s="79" customFormat="1" ht="15.6">
      <c r="A119" s="79" t="s">
        <v>451</v>
      </c>
      <c r="B119" s="93" t="s">
        <v>47</v>
      </c>
      <c r="C119" s="83" t="s">
        <v>124</v>
      </c>
      <c r="D119" s="186"/>
      <c r="E119" s="89"/>
      <c r="F119" s="89"/>
      <c r="G119" s="89"/>
      <c r="H119" s="89"/>
      <c r="I119" s="89"/>
      <c r="J119" s="89"/>
      <c r="K119" s="89"/>
      <c r="L119" s="89"/>
      <c r="M119" s="89"/>
    </row>
    <row r="120" spans="1:13" s="79" customFormat="1" ht="15.6">
      <c r="A120" s="79" t="s">
        <v>452</v>
      </c>
      <c r="B120" s="93" t="s">
        <v>48</v>
      </c>
      <c r="C120" s="83" t="s">
        <v>125</v>
      </c>
      <c r="D120" s="186"/>
      <c r="E120" s="89"/>
      <c r="F120" s="89"/>
      <c r="G120" s="89"/>
      <c r="H120" s="89"/>
      <c r="I120" s="89"/>
      <c r="J120" s="89"/>
      <c r="K120" s="89"/>
      <c r="L120" s="89"/>
      <c r="M120" s="89"/>
    </row>
    <row r="121" spans="1:13" s="79" customFormat="1" ht="15.6">
      <c r="A121" s="79" t="s">
        <v>453</v>
      </c>
      <c r="B121" s="93" t="s">
        <v>249</v>
      </c>
      <c r="C121" s="83" t="s">
        <v>126</v>
      </c>
      <c r="D121" s="186"/>
      <c r="E121" s="89"/>
      <c r="F121" s="89"/>
      <c r="G121" s="89"/>
      <c r="H121" s="89"/>
      <c r="I121" s="89"/>
      <c r="J121" s="89"/>
      <c r="K121" s="89"/>
      <c r="L121" s="89"/>
      <c r="M121" s="89"/>
    </row>
    <row r="122" spans="1:13" s="79" customFormat="1" ht="15.6">
      <c r="A122" s="79" t="s">
        <v>454</v>
      </c>
      <c r="B122" s="93" t="s">
        <v>49</v>
      </c>
      <c r="C122" s="83" t="s">
        <v>127</v>
      </c>
      <c r="D122" s="186"/>
      <c r="E122" s="89"/>
      <c r="F122" s="89"/>
      <c r="G122" s="89"/>
      <c r="H122" s="89"/>
      <c r="I122" s="89"/>
      <c r="J122" s="89"/>
      <c r="K122" s="89"/>
      <c r="L122" s="89"/>
      <c r="M122" s="89"/>
    </row>
    <row r="123" spans="1:13" s="79" customFormat="1" ht="15.6">
      <c r="A123" s="79" t="s">
        <v>455</v>
      </c>
      <c r="B123" s="84" t="s">
        <v>50</v>
      </c>
      <c r="C123" s="77" t="s">
        <v>128</v>
      </c>
      <c r="D123" s="187"/>
      <c r="E123" s="89"/>
      <c r="F123" s="89"/>
      <c r="G123" s="89"/>
      <c r="H123" s="89"/>
      <c r="I123" s="89"/>
      <c r="J123" s="89"/>
      <c r="K123" s="89"/>
      <c r="L123" s="89"/>
      <c r="M123" s="89"/>
    </row>
    <row r="124" spans="1:13" s="79" customFormat="1" ht="15.6">
      <c r="A124" s="79" t="s">
        <v>456</v>
      </c>
      <c r="B124" s="84" t="s">
        <v>51</v>
      </c>
      <c r="C124" s="77" t="s">
        <v>129</v>
      </c>
      <c r="D124" s="187"/>
      <c r="E124" s="89"/>
      <c r="F124" s="89"/>
      <c r="G124" s="89"/>
      <c r="H124" s="89"/>
      <c r="I124" s="89"/>
      <c r="J124" s="89"/>
      <c r="K124" s="89"/>
      <c r="L124" s="89"/>
      <c r="M124" s="89"/>
    </row>
    <row r="125" spans="1:13" s="79" customFormat="1" ht="15.6">
      <c r="A125" s="72"/>
      <c r="B125" s="110"/>
      <c r="C125" s="88"/>
      <c r="D125" s="88"/>
      <c r="E125" s="89"/>
      <c r="F125" s="89"/>
      <c r="G125" s="89"/>
      <c r="H125" s="89"/>
      <c r="I125" s="89"/>
      <c r="J125" s="89"/>
      <c r="K125" s="89"/>
      <c r="L125" s="89"/>
      <c r="M125" s="89"/>
    </row>
    <row r="126" spans="1:13" s="79" customFormat="1" ht="15.6">
      <c r="A126" s="72"/>
      <c r="D126" s="89"/>
      <c r="E126" s="89"/>
      <c r="F126" s="89"/>
      <c r="G126" s="89"/>
      <c r="H126" s="89"/>
      <c r="I126" s="89"/>
      <c r="J126" s="89"/>
      <c r="K126" s="89"/>
      <c r="L126" s="89"/>
      <c r="M126" s="89"/>
    </row>
    <row r="127" spans="1:13" s="79" customFormat="1" ht="42.6" customHeight="1">
      <c r="A127" s="72"/>
      <c r="B127" s="153" t="s">
        <v>253</v>
      </c>
      <c r="C127" s="153"/>
      <c r="D127" s="153"/>
      <c r="E127" s="89"/>
      <c r="F127" s="89"/>
      <c r="G127" s="89"/>
      <c r="H127" s="89"/>
      <c r="I127" s="89"/>
      <c r="J127" s="89"/>
      <c r="K127" s="89"/>
      <c r="L127" s="89"/>
      <c r="M127" s="89"/>
    </row>
    <row r="128" spans="1:13" s="79" customFormat="1" ht="15.6">
      <c r="A128" s="72"/>
      <c r="B128" s="146" t="s">
        <v>258</v>
      </c>
      <c r="C128" s="146"/>
      <c r="D128" s="146"/>
      <c r="E128" s="89"/>
      <c r="F128" s="89"/>
      <c r="G128" s="89"/>
      <c r="H128" s="89"/>
      <c r="I128" s="89"/>
      <c r="J128" s="89"/>
      <c r="K128" s="89"/>
      <c r="L128" s="89"/>
      <c r="M128" s="89"/>
    </row>
    <row r="129" spans="1:13" s="79" customFormat="1" ht="15.6">
      <c r="C129" s="91"/>
      <c r="D129" s="92" t="s">
        <v>0</v>
      </c>
      <c r="E129" s="89"/>
      <c r="F129" s="89"/>
      <c r="G129" s="89"/>
      <c r="H129" s="89"/>
      <c r="I129" s="89"/>
      <c r="J129" s="89"/>
      <c r="K129" s="89"/>
      <c r="L129" s="89"/>
      <c r="M129" s="89"/>
    </row>
    <row r="130" spans="1:13" s="79" customFormat="1" ht="15.6">
      <c r="B130" s="77" t="s">
        <v>93</v>
      </c>
      <c r="C130" s="76"/>
      <c r="D130" s="76"/>
      <c r="E130" s="89"/>
      <c r="F130" s="89"/>
      <c r="G130" s="89"/>
      <c r="H130" s="89"/>
      <c r="I130" s="89"/>
      <c r="J130" s="89"/>
      <c r="K130" s="89"/>
      <c r="L130" s="89"/>
      <c r="M130" s="89"/>
    </row>
    <row r="131" spans="1:13" s="79" customFormat="1" ht="15.6">
      <c r="B131" s="77">
        <v>1</v>
      </c>
      <c r="C131" s="76"/>
      <c r="D131" s="77">
        <v>2</v>
      </c>
      <c r="E131" s="89"/>
      <c r="F131" s="89"/>
      <c r="G131" s="89"/>
      <c r="H131" s="89"/>
      <c r="I131" s="89"/>
      <c r="J131" s="89"/>
      <c r="K131" s="89"/>
      <c r="L131" s="89"/>
      <c r="M131" s="89"/>
    </row>
    <row r="132" spans="1:13" s="79" customFormat="1" ht="15.6">
      <c r="A132" s="79" t="s">
        <v>131</v>
      </c>
      <c r="B132" s="80" t="s">
        <v>365</v>
      </c>
      <c r="C132" s="77" t="s">
        <v>130</v>
      </c>
      <c r="D132" s="184">
        <f>D133+D141+D147+D148</f>
        <v>0</v>
      </c>
      <c r="E132" s="89"/>
      <c r="F132" s="89"/>
      <c r="G132" s="89"/>
      <c r="H132" s="89"/>
      <c r="I132" s="89"/>
      <c r="J132" s="89"/>
      <c r="K132" s="89"/>
      <c r="L132" s="89"/>
      <c r="M132" s="89"/>
    </row>
    <row r="133" spans="1:13" s="79" customFormat="1" ht="15.6">
      <c r="A133" s="79" t="s">
        <v>139</v>
      </c>
      <c r="B133" s="81" t="s">
        <v>24</v>
      </c>
      <c r="C133" s="77" t="s">
        <v>131</v>
      </c>
      <c r="D133" s="184">
        <f>SUM(D134:D140)</f>
        <v>0</v>
      </c>
      <c r="E133" s="89"/>
      <c r="F133" s="89"/>
      <c r="G133" s="89"/>
      <c r="H133" s="89"/>
      <c r="I133" s="89"/>
      <c r="J133" s="89"/>
      <c r="K133" s="89"/>
      <c r="L133" s="89"/>
      <c r="M133" s="89"/>
    </row>
    <row r="134" spans="1:13" s="79" customFormat="1" ht="15.6">
      <c r="A134" s="79" t="s">
        <v>145</v>
      </c>
      <c r="B134" s="93" t="s">
        <v>25</v>
      </c>
      <c r="C134" s="83" t="s">
        <v>132</v>
      </c>
      <c r="D134" s="186"/>
      <c r="E134" s="89"/>
      <c r="F134" s="89"/>
      <c r="G134" s="89"/>
      <c r="H134" s="89"/>
      <c r="I134" s="89"/>
      <c r="J134" s="89"/>
      <c r="K134" s="89"/>
      <c r="L134" s="89"/>
      <c r="M134" s="89"/>
    </row>
    <row r="135" spans="1:13" s="79" customFormat="1" ht="15.6">
      <c r="A135" s="79" t="s">
        <v>146</v>
      </c>
      <c r="B135" s="93" t="s">
        <v>26</v>
      </c>
      <c r="C135" s="83" t="s">
        <v>133</v>
      </c>
      <c r="D135" s="186"/>
      <c r="E135" s="89"/>
      <c r="F135" s="89"/>
      <c r="G135" s="89"/>
      <c r="H135" s="89"/>
      <c r="I135" s="89"/>
      <c r="J135" s="89"/>
      <c r="K135" s="89"/>
      <c r="L135" s="89"/>
      <c r="M135" s="89"/>
    </row>
    <row r="136" spans="1:13" s="79" customFormat="1" ht="15.6">
      <c r="A136" s="79" t="s">
        <v>458</v>
      </c>
      <c r="B136" s="93" t="s">
        <v>27</v>
      </c>
      <c r="C136" s="83" t="s">
        <v>134</v>
      </c>
      <c r="D136" s="186"/>
      <c r="E136" s="89"/>
      <c r="F136" s="89"/>
      <c r="G136" s="89"/>
      <c r="H136" s="89"/>
      <c r="I136" s="89"/>
      <c r="J136" s="89"/>
      <c r="K136" s="89"/>
      <c r="L136" s="89"/>
      <c r="M136" s="89"/>
    </row>
    <row r="137" spans="1:13" s="79" customFormat="1" ht="15.6">
      <c r="A137" s="79" t="s">
        <v>459</v>
      </c>
      <c r="B137" s="93" t="s">
        <v>28</v>
      </c>
      <c r="C137" s="83" t="s">
        <v>135</v>
      </c>
      <c r="D137" s="186"/>
      <c r="E137" s="89"/>
      <c r="F137" s="89"/>
      <c r="G137" s="89"/>
      <c r="H137" s="89"/>
      <c r="I137" s="89"/>
      <c r="J137" s="89"/>
      <c r="K137" s="89"/>
      <c r="L137" s="89"/>
      <c r="M137" s="89"/>
    </row>
    <row r="138" spans="1:13" s="79" customFormat="1" ht="15.6">
      <c r="A138" s="79" t="s">
        <v>460</v>
      </c>
      <c r="B138" s="93" t="s">
        <v>29</v>
      </c>
      <c r="C138" s="83" t="s">
        <v>136</v>
      </c>
      <c r="D138" s="186"/>
      <c r="E138" s="89"/>
      <c r="F138" s="89"/>
      <c r="G138" s="89"/>
      <c r="H138" s="89"/>
      <c r="I138" s="89"/>
      <c r="J138" s="89"/>
      <c r="K138" s="89"/>
      <c r="L138" s="89"/>
      <c r="M138" s="89"/>
    </row>
    <row r="139" spans="1:13" s="79" customFormat="1" ht="15.6">
      <c r="A139" s="79" t="s">
        <v>461</v>
      </c>
      <c r="B139" s="93" t="s">
        <v>30</v>
      </c>
      <c r="C139" s="83" t="s">
        <v>137</v>
      </c>
      <c r="D139" s="186"/>
      <c r="E139" s="89"/>
      <c r="F139" s="89"/>
      <c r="G139" s="89"/>
      <c r="H139" s="89"/>
      <c r="I139" s="89"/>
      <c r="J139" s="89"/>
      <c r="K139" s="89"/>
      <c r="L139" s="89"/>
      <c r="M139" s="89"/>
    </row>
    <row r="140" spans="1:13" s="79" customFormat="1" ht="15.6">
      <c r="A140" s="79" t="s">
        <v>462</v>
      </c>
      <c r="B140" s="93" t="s">
        <v>31</v>
      </c>
      <c r="C140" s="83" t="s">
        <v>138</v>
      </c>
      <c r="D140" s="186"/>
      <c r="E140" s="89"/>
      <c r="F140" s="89"/>
      <c r="G140" s="89"/>
      <c r="H140" s="89"/>
      <c r="I140" s="89"/>
      <c r="J140" s="89"/>
      <c r="K140" s="89"/>
      <c r="L140" s="89"/>
      <c r="M140" s="89"/>
    </row>
    <row r="141" spans="1:13" s="79" customFormat="1" ht="15.6">
      <c r="A141" s="79" t="s">
        <v>463</v>
      </c>
      <c r="B141" s="81" t="s">
        <v>45</v>
      </c>
      <c r="C141" s="77" t="s">
        <v>139</v>
      </c>
      <c r="D141" s="184">
        <f>SUM(D142:D146)</f>
        <v>0</v>
      </c>
      <c r="E141" s="89"/>
      <c r="F141" s="89"/>
      <c r="G141" s="89"/>
      <c r="H141" s="89"/>
      <c r="I141" s="89"/>
      <c r="J141" s="89"/>
      <c r="K141" s="89"/>
      <c r="L141" s="89"/>
      <c r="M141" s="89"/>
    </row>
    <row r="142" spans="1:13" s="79" customFormat="1" ht="15.6">
      <c r="A142" s="79" t="s">
        <v>457</v>
      </c>
      <c r="B142" s="93" t="s">
        <v>46</v>
      </c>
      <c r="C142" s="83" t="s">
        <v>140</v>
      </c>
      <c r="D142" s="186"/>
      <c r="E142" s="89"/>
      <c r="F142" s="89"/>
      <c r="G142" s="89"/>
      <c r="H142" s="89"/>
      <c r="I142" s="89"/>
      <c r="J142" s="89"/>
      <c r="K142" s="89"/>
      <c r="L142" s="89"/>
      <c r="M142" s="89"/>
    </row>
    <row r="143" spans="1:13" s="79" customFormat="1" ht="15.6">
      <c r="A143" s="79" t="s">
        <v>464</v>
      </c>
      <c r="B143" s="93" t="s">
        <v>47</v>
      </c>
      <c r="C143" s="83" t="s">
        <v>141</v>
      </c>
      <c r="D143" s="186"/>
      <c r="E143" s="89"/>
      <c r="F143" s="89"/>
      <c r="G143" s="89"/>
      <c r="H143" s="89"/>
      <c r="I143" s="89"/>
      <c r="J143" s="89"/>
      <c r="K143" s="89"/>
      <c r="L143" s="89"/>
      <c r="M143" s="89"/>
    </row>
    <row r="144" spans="1:13" s="79" customFormat="1" ht="15.6">
      <c r="A144" s="79" t="s">
        <v>465</v>
      </c>
      <c r="B144" s="93" t="s">
        <v>48</v>
      </c>
      <c r="C144" s="83" t="s">
        <v>142</v>
      </c>
      <c r="D144" s="186"/>
      <c r="E144" s="89"/>
      <c r="F144" s="89"/>
      <c r="G144" s="89"/>
      <c r="H144" s="89"/>
      <c r="I144" s="89"/>
      <c r="J144" s="89"/>
      <c r="K144" s="89"/>
      <c r="L144" s="89"/>
      <c r="M144" s="89"/>
    </row>
    <row r="145" spans="1:13" s="79" customFormat="1" ht="15.6">
      <c r="A145" s="79" t="s">
        <v>466</v>
      </c>
      <c r="B145" s="93" t="s">
        <v>249</v>
      </c>
      <c r="C145" s="83" t="s">
        <v>143</v>
      </c>
      <c r="D145" s="186"/>
      <c r="E145" s="89"/>
      <c r="F145" s="89"/>
      <c r="G145" s="89"/>
      <c r="H145" s="89"/>
      <c r="I145" s="89"/>
      <c r="J145" s="89"/>
      <c r="K145" s="89"/>
      <c r="L145" s="89"/>
      <c r="M145" s="89"/>
    </row>
    <row r="146" spans="1:13" s="79" customFormat="1" ht="15.6">
      <c r="A146" s="79" t="s">
        <v>467</v>
      </c>
      <c r="B146" s="93" t="s">
        <v>49</v>
      </c>
      <c r="C146" s="83" t="s">
        <v>144</v>
      </c>
      <c r="D146" s="186"/>
      <c r="E146" s="89"/>
      <c r="F146" s="89"/>
      <c r="G146" s="89"/>
      <c r="H146" s="89"/>
      <c r="I146" s="89"/>
      <c r="J146" s="89"/>
      <c r="K146" s="89"/>
      <c r="L146" s="89"/>
      <c r="M146" s="89"/>
    </row>
    <row r="147" spans="1:13" s="79" customFormat="1" ht="15.6">
      <c r="A147" s="79" t="s">
        <v>468</v>
      </c>
      <c r="B147" s="84" t="s">
        <v>50</v>
      </c>
      <c r="C147" s="77" t="s">
        <v>145</v>
      </c>
      <c r="D147" s="187"/>
      <c r="E147" s="89"/>
      <c r="F147" s="89"/>
      <c r="G147" s="89"/>
      <c r="H147" s="89"/>
      <c r="I147" s="89"/>
      <c r="J147" s="89"/>
      <c r="K147" s="89"/>
      <c r="L147" s="89"/>
      <c r="M147" s="89"/>
    </row>
    <row r="148" spans="1:13" s="79" customFormat="1" ht="15.6">
      <c r="A148" s="79" t="s">
        <v>469</v>
      </c>
      <c r="B148" s="84" t="s">
        <v>51</v>
      </c>
      <c r="C148" s="77" t="s">
        <v>146</v>
      </c>
      <c r="D148" s="187"/>
      <c r="E148" s="89"/>
      <c r="F148" s="89"/>
      <c r="G148" s="89"/>
      <c r="H148" s="89"/>
      <c r="I148" s="89"/>
      <c r="J148" s="89"/>
      <c r="K148" s="89"/>
      <c r="L148" s="89"/>
      <c r="M148" s="89"/>
    </row>
  </sheetData>
  <sheetProtection algorithmName="SHA-512" hashValue="kB6OWl2PSoZGaZMbrRJuK5mcC/oOUpXUwtXT4LhEdRZzmWAd/+mCrVgoEmV2VYtGymE/uuWfkIzRBO14/T60+Q==" saltValue="TshJANpyUVUcqN2IGvqktg==" spinCount="100000" sheet="1" objects="1" scenarios="1"/>
  <mergeCells count="37">
    <mergeCell ref="B127:D127"/>
    <mergeCell ref="B128:D128"/>
    <mergeCell ref="B56:B57"/>
    <mergeCell ref="C56:C57"/>
    <mergeCell ref="D56:H56"/>
    <mergeCell ref="B83:C83"/>
    <mergeCell ref="B104:D104"/>
    <mergeCell ref="B103:D103"/>
    <mergeCell ref="B29:M29"/>
    <mergeCell ref="B30:M30"/>
    <mergeCell ref="B31:B32"/>
    <mergeCell ref="C31:C32"/>
    <mergeCell ref="D31:H31"/>
    <mergeCell ref="I31:M31"/>
    <mergeCell ref="B2:M2"/>
    <mergeCell ref="B3:M3"/>
    <mergeCell ref="B5:M5"/>
    <mergeCell ref="B6:B7"/>
    <mergeCell ref="C6:C7"/>
    <mergeCell ref="I6:M6"/>
    <mergeCell ref="B4:M4"/>
    <mergeCell ref="I81:M81"/>
    <mergeCell ref="D6:H6"/>
    <mergeCell ref="B81:B82"/>
    <mergeCell ref="C81:C82"/>
    <mergeCell ref="D81:H81"/>
    <mergeCell ref="B78:M78"/>
    <mergeCell ref="B79:M79"/>
    <mergeCell ref="B80:M80"/>
    <mergeCell ref="B55:M55"/>
    <mergeCell ref="I56:M56"/>
    <mergeCell ref="B58:C58"/>
    <mergeCell ref="B8:C8"/>
    <mergeCell ref="B33:C33"/>
    <mergeCell ref="B53:M53"/>
    <mergeCell ref="B54:M54"/>
    <mergeCell ref="B28:M28"/>
  </mergeCells>
  <phoneticPr fontId="52" type="noConversion"/>
  <conditionalFormatting sqref="D6:H6">
    <cfRule type="expression" dxfId="19" priority="27">
      <formula>#REF!="PLEASE CORRECT ALL COMPARISON RULES"</formula>
    </cfRule>
  </conditionalFormatting>
  <conditionalFormatting sqref="D81:H81">
    <cfRule type="expression" dxfId="18" priority="5">
      <formula>#REF!="PLEASE CORRECT ALL COMPARISON RULES"</formula>
    </cfRule>
  </conditionalFormatting>
  <conditionalFormatting sqref="D31:H31">
    <cfRule type="expression" dxfId="17" priority="4">
      <formula>#REF!="PLEASE CORRECT ALL COMPARISON RULES"</formula>
    </cfRule>
  </conditionalFormatting>
  <conditionalFormatting sqref="D56:H56">
    <cfRule type="expression" dxfId="16" priority="3">
      <formula>#REF!="PLEASE CORRECT ALL COMPARISON RULES"</formula>
    </cfRule>
  </conditionalFormatting>
  <pageMargins left="0.7" right="0.7" top="0.75" bottom="0.75" header="0.3" footer="0.3"/>
  <pageSetup paperSize="9" scale="51" orientation="landscape" r:id="rId1"/>
  <rowBreaks count="2" manualBreakCount="2">
    <brk id="79" max="16383" man="1"/>
    <brk id="12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5988C-D50F-401B-BA9E-1C283486DF45}">
  <dimension ref="A1:N72"/>
  <sheetViews>
    <sheetView showGridLines="0" topLeftCell="A6" zoomScale="85" zoomScaleNormal="85" workbookViewId="0">
      <selection activeCell="F27" sqref="F27"/>
    </sheetView>
  </sheetViews>
  <sheetFormatPr defaultColWidth="9.109375" defaultRowHeight="15.6"/>
  <cols>
    <col min="1" max="1" width="9.109375" style="117"/>
    <col min="2" max="2" width="56.5546875" style="39" customWidth="1"/>
    <col min="3" max="3" width="11.109375" style="39" customWidth="1"/>
    <col min="4" max="4" width="18.88671875" style="40" customWidth="1"/>
    <col min="5" max="5" width="19" style="40" customWidth="1"/>
    <col min="6" max="6" width="18.6640625" style="40" customWidth="1"/>
    <col min="7" max="7" width="17.6640625" style="40" customWidth="1"/>
    <col min="8" max="9" width="22.88671875" style="40" customWidth="1"/>
    <col min="10" max="10" width="16.109375" style="40" customWidth="1"/>
    <col min="11" max="12" width="16" style="40" customWidth="1"/>
    <col min="13" max="13" width="23.6640625" style="40" customWidth="1"/>
    <col min="14" max="14" width="4.6640625" style="39" customWidth="1"/>
    <col min="15" max="16384" width="9.109375" style="39"/>
  </cols>
  <sheetData>
    <row r="1" spans="1:14" s="52" customFormat="1">
      <c r="A1" s="112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14" s="54" customFormat="1">
      <c r="A2" s="113"/>
      <c r="B2" s="155" t="s">
        <v>270</v>
      </c>
      <c r="C2" s="155"/>
      <c r="D2" s="155"/>
      <c r="E2" s="155"/>
      <c r="F2" s="155"/>
      <c r="G2" s="155"/>
      <c r="H2" s="155"/>
      <c r="I2" s="155"/>
      <c r="J2" s="20"/>
      <c r="K2" s="20"/>
      <c r="L2" s="20"/>
      <c r="M2" s="20"/>
    </row>
    <row r="3" spans="1:14" s="40" customFormat="1" ht="22.5" customHeight="1">
      <c r="A3" s="114"/>
      <c r="B3" s="154" t="s">
        <v>271</v>
      </c>
      <c r="C3" s="154"/>
      <c r="D3" s="154"/>
      <c r="E3" s="154"/>
      <c r="F3" s="154"/>
      <c r="G3" s="154"/>
      <c r="H3" s="154"/>
      <c r="I3" s="154"/>
      <c r="N3" s="39"/>
    </row>
    <row r="4" spans="1:14" s="40" customFormat="1">
      <c r="A4" s="114"/>
      <c r="B4" s="155" t="s">
        <v>257</v>
      </c>
      <c r="C4" s="155"/>
      <c r="D4" s="155"/>
      <c r="E4" s="155"/>
      <c r="F4" s="155"/>
      <c r="G4" s="155"/>
      <c r="H4" s="155"/>
      <c r="I4" s="155"/>
      <c r="N4" s="39"/>
    </row>
    <row r="5" spans="1:14" s="40" customFormat="1">
      <c r="A5" s="115"/>
      <c r="B5" s="39"/>
      <c r="C5" s="39"/>
      <c r="H5" s="32"/>
      <c r="I5" s="32" t="s">
        <v>0</v>
      </c>
      <c r="N5" s="39"/>
    </row>
    <row r="6" spans="1:14" s="40" customFormat="1" ht="22.5" customHeight="1">
      <c r="A6" s="115"/>
      <c r="B6" s="158" t="s">
        <v>93</v>
      </c>
      <c r="C6" s="158"/>
      <c r="D6" s="144" t="s">
        <v>92</v>
      </c>
      <c r="E6" s="144"/>
      <c r="F6" s="144"/>
      <c r="G6" s="144"/>
      <c r="H6" s="144"/>
      <c r="I6" s="144"/>
      <c r="N6" s="39"/>
    </row>
    <row r="7" spans="1:14" s="40" customFormat="1" ht="46.8">
      <c r="A7" s="115"/>
      <c r="B7" s="158"/>
      <c r="C7" s="158"/>
      <c r="D7" s="1" t="s">
        <v>91</v>
      </c>
      <c r="E7" s="46" t="s">
        <v>1</v>
      </c>
      <c r="F7" s="46" t="s">
        <v>2</v>
      </c>
      <c r="G7" s="46" t="s">
        <v>3</v>
      </c>
      <c r="H7" s="2" t="s">
        <v>354</v>
      </c>
      <c r="I7" s="61" t="s">
        <v>353</v>
      </c>
      <c r="N7" s="39"/>
    </row>
    <row r="8" spans="1:14" s="40" customFormat="1">
      <c r="A8" s="115"/>
      <c r="B8" s="156">
        <v>1</v>
      </c>
      <c r="C8" s="157"/>
      <c r="D8" s="46">
        <v>2</v>
      </c>
      <c r="E8" s="46">
        <v>3</v>
      </c>
      <c r="F8" s="46">
        <v>4</v>
      </c>
      <c r="G8" s="46">
        <v>5</v>
      </c>
      <c r="H8" s="46">
        <v>6</v>
      </c>
      <c r="I8" s="46">
        <v>7</v>
      </c>
      <c r="N8" s="39"/>
    </row>
    <row r="9" spans="1:14" s="40" customFormat="1">
      <c r="A9" s="115" t="s">
        <v>23</v>
      </c>
      <c r="B9" s="60" t="s">
        <v>365</v>
      </c>
      <c r="C9" s="46" t="s">
        <v>23</v>
      </c>
      <c r="D9" s="188">
        <f>D19+D29+D39+D49</f>
        <v>0</v>
      </c>
      <c r="E9" s="188">
        <f>E19+E29+E39+E49</f>
        <v>0</v>
      </c>
      <c r="F9" s="188">
        <f t="shared" ref="F9:H9" si="0">F19+F29+F39+F49</f>
        <v>0</v>
      </c>
      <c r="G9" s="188">
        <f t="shared" si="0"/>
        <v>0</v>
      </c>
      <c r="H9" s="188">
        <f t="shared" si="0"/>
        <v>0</v>
      </c>
      <c r="I9" s="188">
        <f>I19+I29+I39+I49</f>
        <v>0</v>
      </c>
      <c r="N9" s="39"/>
    </row>
    <row r="10" spans="1:14" s="40" customFormat="1">
      <c r="A10" s="115" t="s">
        <v>39</v>
      </c>
      <c r="B10" s="41" t="s">
        <v>24</v>
      </c>
      <c r="C10" s="46" t="s">
        <v>275</v>
      </c>
      <c r="D10" s="124"/>
      <c r="E10" s="125"/>
      <c r="F10" s="125"/>
      <c r="G10" s="125"/>
      <c r="H10" s="125"/>
      <c r="I10" s="126"/>
      <c r="N10" s="39"/>
    </row>
    <row r="11" spans="1:14" s="40" customFormat="1">
      <c r="A11" s="115" t="s">
        <v>52</v>
      </c>
      <c r="B11" s="42" t="s">
        <v>328</v>
      </c>
      <c r="C11" s="43" t="s">
        <v>276</v>
      </c>
      <c r="D11" s="189">
        <f>SUM(E11:H11)</f>
        <v>0</v>
      </c>
      <c r="E11" s="186"/>
      <c r="F11" s="186"/>
      <c r="G11" s="186"/>
      <c r="H11" s="186"/>
      <c r="I11" s="186"/>
      <c r="N11" s="39"/>
    </row>
    <row r="12" spans="1:14" s="40" customFormat="1">
      <c r="A12" s="115" t="s">
        <v>53</v>
      </c>
      <c r="B12" s="42" t="s">
        <v>267</v>
      </c>
      <c r="C12" s="43" t="s">
        <v>277</v>
      </c>
      <c r="D12" s="189">
        <f>SUM(E12:H12)</f>
        <v>0</v>
      </c>
      <c r="E12" s="186"/>
      <c r="F12" s="186"/>
      <c r="G12" s="186"/>
      <c r="H12" s="186"/>
      <c r="I12" s="189"/>
      <c r="N12" s="39"/>
    </row>
    <row r="13" spans="1:14" s="40" customFormat="1">
      <c r="A13" s="115" t="s">
        <v>388</v>
      </c>
      <c r="B13" s="42" t="s">
        <v>268</v>
      </c>
      <c r="C13" s="43" t="s">
        <v>278</v>
      </c>
      <c r="D13" s="189">
        <f t="shared" ref="D13:D16" si="1">SUM(E13:H13)</f>
        <v>0</v>
      </c>
      <c r="E13" s="186"/>
      <c r="F13" s="186"/>
      <c r="G13" s="186"/>
      <c r="H13" s="186"/>
      <c r="I13" s="189"/>
      <c r="N13" s="39"/>
    </row>
    <row r="14" spans="1:14" s="40" customFormat="1">
      <c r="A14" s="115" t="s">
        <v>398</v>
      </c>
      <c r="B14" s="42" t="s">
        <v>272</v>
      </c>
      <c r="C14" s="43" t="s">
        <v>279</v>
      </c>
      <c r="D14" s="189">
        <f>SUM(E14:H14)</f>
        <v>0</v>
      </c>
      <c r="E14" s="189">
        <f>-(F14+G14)</f>
        <v>0</v>
      </c>
      <c r="F14" s="186"/>
      <c r="G14" s="186"/>
      <c r="H14" s="189"/>
      <c r="I14" s="189"/>
      <c r="N14" s="39"/>
    </row>
    <row r="15" spans="1:14" s="40" customFormat="1">
      <c r="A15" s="115" t="s">
        <v>399</v>
      </c>
      <c r="B15" s="42" t="s">
        <v>273</v>
      </c>
      <c r="C15" s="43" t="s">
        <v>280</v>
      </c>
      <c r="D15" s="189">
        <f>SUM(E15:H15)</f>
        <v>0</v>
      </c>
      <c r="E15" s="186"/>
      <c r="F15" s="189">
        <f>-(E15+G15)</f>
        <v>0</v>
      </c>
      <c r="G15" s="186"/>
      <c r="H15" s="189"/>
      <c r="I15" s="189"/>
      <c r="N15" s="39"/>
    </row>
    <row r="16" spans="1:14" s="40" customFormat="1">
      <c r="A16" s="115" t="s">
        <v>400</v>
      </c>
      <c r="B16" s="42" t="s">
        <v>274</v>
      </c>
      <c r="C16" s="43" t="s">
        <v>281</v>
      </c>
      <c r="D16" s="189">
        <f t="shared" si="1"/>
        <v>0</v>
      </c>
      <c r="E16" s="186"/>
      <c r="F16" s="186"/>
      <c r="G16" s="189">
        <f>-(E16+F16)</f>
        <v>0</v>
      </c>
      <c r="H16" s="189"/>
      <c r="I16" s="189"/>
      <c r="N16" s="39"/>
    </row>
    <row r="17" spans="1:14" s="40" customFormat="1" ht="18" customHeight="1">
      <c r="A17" s="115" t="s">
        <v>401</v>
      </c>
      <c r="B17" s="62" t="s">
        <v>269</v>
      </c>
      <c r="C17" s="43" t="s">
        <v>282</v>
      </c>
      <c r="D17" s="189">
        <f>SUM(E17:H17)</f>
        <v>0</v>
      </c>
      <c r="E17" s="190"/>
      <c r="F17" s="190"/>
      <c r="G17" s="186"/>
      <c r="H17" s="186"/>
      <c r="I17" s="189"/>
      <c r="N17" s="39"/>
    </row>
    <row r="18" spans="1:14" s="40" customFormat="1" ht="17.25" customHeight="1">
      <c r="A18" s="115" t="s">
        <v>402</v>
      </c>
      <c r="B18" s="42" t="s">
        <v>266</v>
      </c>
      <c r="C18" s="43" t="s">
        <v>283</v>
      </c>
      <c r="D18" s="189">
        <f>SUM(E18:H18)</f>
        <v>0</v>
      </c>
      <c r="E18" s="190"/>
      <c r="F18" s="190"/>
      <c r="G18" s="186"/>
      <c r="H18" s="186"/>
      <c r="I18" s="189"/>
      <c r="N18" s="39"/>
    </row>
    <row r="19" spans="1:14" s="40" customFormat="1" ht="18" customHeight="1">
      <c r="A19" s="115" t="s">
        <v>394</v>
      </c>
      <c r="B19" s="42" t="s">
        <v>329</v>
      </c>
      <c r="C19" s="43" t="s">
        <v>284</v>
      </c>
      <c r="D19" s="188">
        <f>D11+D12-D13+D14+D15+D16+D17-D18</f>
        <v>0</v>
      </c>
      <c r="E19" s="188">
        <f>E11+E12-E13+E14+E15+E16+E17-E18</f>
        <v>0</v>
      </c>
      <c r="F19" s="188">
        <f t="shared" ref="F19" si="2">F11+F12-F13+F14+F15+F16+F17-F18</f>
        <v>0</v>
      </c>
      <c r="G19" s="188">
        <f>G11+G12-G13+G14+G15+G16+G17-G18</f>
        <v>0</v>
      </c>
      <c r="H19" s="188">
        <f>H11+H12-H13+H17-H18</f>
        <v>0</v>
      </c>
      <c r="I19" s="191"/>
      <c r="N19" s="39"/>
    </row>
    <row r="20" spans="1:14" s="40" customFormat="1">
      <c r="A20" s="115" t="s">
        <v>403</v>
      </c>
      <c r="B20" s="41" t="s">
        <v>45</v>
      </c>
      <c r="C20" s="46" t="s">
        <v>285</v>
      </c>
      <c r="D20" s="124"/>
      <c r="E20" s="125"/>
      <c r="F20" s="125"/>
      <c r="G20" s="125"/>
      <c r="H20" s="125"/>
      <c r="I20" s="126"/>
      <c r="N20" s="39"/>
    </row>
    <row r="21" spans="1:14" s="40" customFormat="1">
      <c r="A21" s="115" t="s">
        <v>404</v>
      </c>
      <c r="B21" s="42" t="s">
        <v>328</v>
      </c>
      <c r="C21" s="43" t="s">
        <v>286</v>
      </c>
      <c r="D21" s="189">
        <f>SUM(E21:H21)</f>
        <v>0</v>
      </c>
      <c r="E21" s="186"/>
      <c r="F21" s="186"/>
      <c r="G21" s="186"/>
      <c r="H21" s="186"/>
      <c r="I21" s="186"/>
      <c r="N21" s="39"/>
    </row>
    <row r="22" spans="1:14" s="40" customFormat="1">
      <c r="A22" s="115" t="s">
        <v>405</v>
      </c>
      <c r="B22" s="42" t="s">
        <v>267</v>
      </c>
      <c r="C22" s="43" t="s">
        <v>287</v>
      </c>
      <c r="D22" s="189">
        <f t="shared" ref="D22:D23" si="3">SUM(E22:H22)</f>
        <v>0</v>
      </c>
      <c r="E22" s="186"/>
      <c r="F22" s="186"/>
      <c r="G22" s="186"/>
      <c r="H22" s="186"/>
      <c r="I22" s="189"/>
      <c r="N22" s="39"/>
    </row>
    <row r="23" spans="1:14" s="40" customFormat="1">
      <c r="A23" s="115" t="s">
        <v>406</v>
      </c>
      <c r="B23" s="42" t="s">
        <v>268</v>
      </c>
      <c r="C23" s="43" t="s">
        <v>288</v>
      </c>
      <c r="D23" s="189">
        <f t="shared" si="3"/>
        <v>0</v>
      </c>
      <c r="E23" s="186"/>
      <c r="F23" s="186"/>
      <c r="G23" s="186"/>
      <c r="H23" s="186"/>
      <c r="I23" s="189"/>
      <c r="N23" s="39"/>
    </row>
    <row r="24" spans="1:14" s="40" customFormat="1">
      <c r="A24" s="115" t="s">
        <v>407</v>
      </c>
      <c r="B24" s="42" t="s">
        <v>272</v>
      </c>
      <c r="C24" s="43" t="s">
        <v>289</v>
      </c>
      <c r="D24" s="189">
        <f>SUM(E24:H24)</f>
        <v>0</v>
      </c>
      <c r="E24" s="189">
        <f>-(F24+G24)</f>
        <v>0</v>
      </c>
      <c r="F24" s="186"/>
      <c r="G24" s="186"/>
      <c r="H24" s="189"/>
      <c r="I24" s="189"/>
      <c r="N24" s="39"/>
    </row>
    <row r="25" spans="1:14" s="40" customFormat="1">
      <c r="A25" s="115" t="s">
        <v>408</v>
      </c>
      <c r="B25" s="42" t="s">
        <v>273</v>
      </c>
      <c r="C25" s="43" t="s">
        <v>290</v>
      </c>
      <c r="D25" s="189">
        <f>SUM(E25:H25)</f>
        <v>0</v>
      </c>
      <c r="E25" s="186"/>
      <c r="F25" s="189">
        <f>-(E25+G25)</f>
        <v>0</v>
      </c>
      <c r="G25" s="186"/>
      <c r="H25" s="189"/>
      <c r="I25" s="189"/>
      <c r="N25" s="39"/>
    </row>
    <row r="26" spans="1:14" s="40" customFormat="1">
      <c r="A26" s="115" t="s">
        <v>470</v>
      </c>
      <c r="B26" s="42" t="s">
        <v>274</v>
      </c>
      <c r="C26" s="43" t="s">
        <v>291</v>
      </c>
      <c r="D26" s="189">
        <f t="shared" ref="D26" si="4">SUM(E26:H26)</f>
        <v>0</v>
      </c>
      <c r="E26" s="186"/>
      <c r="F26" s="186"/>
      <c r="G26" s="189">
        <f>-(E26+F26)</f>
        <v>0</v>
      </c>
      <c r="H26" s="189"/>
      <c r="I26" s="189"/>
      <c r="N26" s="39"/>
    </row>
    <row r="27" spans="1:14" s="40" customFormat="1" ht="18" customHeight="1">
      <c r="A27" s="115" t="s">
        <v>471</v>
      </c>
      <c r="B27" s="62" t="s">
        <v>269</v>
      </c>
      <c r="C27" s="43" t="s">
        <v>292</v>
      </c>
      <c r="D27" s="189">
        <f>SUM(E27:H27)</f>
        <v>0</v>
      </c>
      <c r="E27" s="186"/>
      <c r="F27" s="186"/>
      <c r="G27" s="186"/>
      <c r="H27" s="186"/>
      <c r="I27" s="189"/>
      <c r="N27" s="39"/>
    </row>
    <row r="28" spans="1:14" s="40" customFormat="1">
      <c r="A28" s="115" t="s">
        <v>472</v>
      </c>
      <c r="B28" s="42" t="s">
        <v>266</v>
      </c>
      <c r="C28" s="43" t="s">
        <v>293</v>
      </c>
      <c r="D28" s="189">
        <f>SUM(E28:H28)</f>
        <v>0</v>
      </c>
      <c r="E28" s="186"/>
      <c r="F28" s="186"/>
      <c r="G28" s="186"/>
      <c r="H28" s="186"/>
      <c r="I28" s="189"/>
      <c r="N28" s="39"/>
    </row>
    <row r="29" spans="1:14" s="40" customFormat="1">
      <c r="A29" s="115" t="s">
        <v>395</v>
      </c>
      <c r="B29" s="42" t="s">
        <v>329</v>
      </c>
      <c r="C29" s="43" t="s">
        <v>294</v>
      </c>
      <c r="D29" s="188">
        <f>D21+D22-D23+D24+D25+D26+D27-D28</f>
        <v>0</v>
      </c>
      <c r="E29" s="188">
        <f t="shared" ref="E29" si="5">E21+E22-E23+E24+E25+E26+E27-E28</f>
        <v>0</v>
      </c>
      <c r="F29" s="188">
        <f t="shared" ref="F29" si="6">F21+F22-F23+F24+F25+F26+F27-F28</f>
        <v>0</v>
      </c>
      <c r="G29" s="188">
        <f t="shared" ref="G29" si="7">G21+G22-G23+G24+G25+G26+G27-G28</f>
        <v>0</v>
      </c>
      <c r="H29" s="188">
        <f>H21+H22-H23+H27-H28</f>
        <v>0</v>
      </c>
      <c r="I29" s="191"/>
      <c r="N29" s="39"/>
    </row>
    <row r="30" spans="1:14" s="40" customFormat="1">
      <c r="A30" s="115" t="s">
        <v>473</v>
      </c>
      <c r="B30" s="63" t="s">
        <v>50</v>
      </c>
      <c r="C30" s="46" t="s">
        <v>295</v>
      </c>
      <c r="D30" s="124"/>
      <c r="E30" s="125"/>
      <c r="F30" s="125"/>
      <c r="G30" s="125"/>
      <c r="H30" s="125"/>
      <c r="I30" s="126"/>
      <c r="N30" s="39"/>
    </row>
    <row r="31" spans="1:14">
      <c r="A31" s="115" t="s">
        <v>474</v>
      </c>
      <c r="B31" s="42" t="s">
        <v>328</v>
      </c>
      <c r="C31" s="43" t="s">
        <v>296</v>
      </c>
      <c r="D31" s="189">
        <f>SUM(E31:H31)</f>
        <v>0</v>
      </c>
      <c r="E31" s="186"/>
      <c r="F31" s="186"/>
      <c r="G31" s="186"/>
      <c r="H31" s="186"/>
      <c r="I31" s="186"/>
    </row>
    <row r="32" spans="1:14">
      <c r="A32" s="115" t="s">
        <v>475</v>
      </c>
      <c r="B32" s="42" t="s">
        <v>267</v>
      </c>
      <c r="C32" s="43" t="s">
        <v>297</v>
      </c>
      <c r="D32" s="189">
        <f t="shared" ref="D32:D33" si="8">SUM(E32:H32)</f>
        <v>0</v>
      </c>
      <c r="E32" s="186"/>
      <c r="F32" s="186"/>
      <c r="G32" s="186"/>
      <c r="H32" s="186"/>
      <c r="I32" s="189"/>
    </row>
    <row r="33" spans="1:13">
      <c r="A33" s="115" t="s">
        <v>476</v>
      </c>
      <c r="B33" s="42" t="s">
        <v>268</v>
      </c>
      <c r="C33" s="43" t="s">
        <v>298</v>
      </c>
      <c r="D33" s="189">
        <f t="shared" si="8"/>
        <v>0</v>
      </c>
      <c r="E33" s="186"/>
      <c r="F33" s="186"/>
      <c r="G33" s="186"/>
      <c r="H33" s="186"/>
      <c r="I33" s="189"/>
    </row>
    <row r="34" spans="1:13">
      <c r="A34" s="115" t="s">
        <v>477</v>
      </c>
      <c r="B34" s="42" t="s">
        <v>272</v>
      </c>
      <c r="C34" s="43" t="s">
        <v>299</v>
      </c>
      <c r="D34" s="189">
        <f>SUM(E34:H34)</f>
        <v>0</v>
      </c>
      <c r="E34" s="189">
        <f>-(F34+G34)</f>
        <v>0</v>
      </c>
      <c r="F34" s="186"/>
      <c r="G34" s="186"/>
      <c r="H34" s="189"/>
      <c r="I34" s="189"/>
    </row>
    <row r="35" spans="1:13">
      <c r="A35" s="115" t="s">
        <v>478</v>
      </c>
      <c r="B35" s="42" t="s">
        <v>273</v>
      </c>
      <c r="C35" s="43" t="s">
        <v>300</v>
      </c>
      <c r="D35" s="189">
        <f>SUM(E35:H35)</f>
        <v>0</v>
      </c>
      <c r="E35" s="186"/>
      <c r="F35" s="189">
        <f>-(E35+G35)</f>
        <v>0</v>
      </c>
      <c r="G35" s="186"/>
      <c r="H35" s="189"/>
      <c r="I35" s="189"/>
    </row>
    <row r="36" spans="1:13">
      <c r="A36" s="115" t="s">
        <v>479</v>
      </c>
      <c r="B36" s="42" t="s">
        <v>274</v>
      </c>
      <c r="C36" s="43" t="s">
        <v>301</v>
      </c>
      <c r="D36" s="189">
        <f t="shared" ref="D36" si="9">SUM(E36:H36)</f>
        <v>0</v>
      </c>
      <c r="E36" s="186"/>
      <c r="F36" s="186"/>
      <c r="G36" s="189">
        <f>-(E36+F36)</f>
        <v>0</v>
      </c>
      <c r="H36" s="189"/>
      <c r="I36" s="189"/>
    </row>
    <row r="37" spans="1:13" ht="18" customHeight="1">
      <c r="A37" s="115" t="s">
        <v>480</v>
      </c>
      <c r="B37" s="62" t="s">
        <v>269</v>
      </c>
      <c r="C37" s="43" t="s">
        <v>302</v>
      </c>
      <c r="D37" s="189">
        <f>SUM(E37:H37)</f>
        <v>0</v>
      </c>
      <c r="E37" s="186"/>
      <c r="F37" s="186"/>
      <c r="G37" s="186"/>
      <c r="H37" s="186"/>
      <c r="I37" s="189"/>
    </row>
    <row r="38" spans="1:13">
      <c r="A38" s="115" t="s">
        <v>481</v>
      </c>
      <c r="B38" s="42" t="s">
        <v>266</v>
      </c>
      <c r="C38" s="43" t="s">
        <v>303</v>
      </c>
      <c r="D38" s="189">
        <f>SUM(E38:H38)</f>
        <v>0</v>
      </c>
      <c r="E38" s="186"/>
      <c r="F38" s="186"/>
      <c r="G38" s="186"/>
      <c r="H38" s="186"/>
      <c r="I38" s="189"/>
    </row>
    <row r="39" spans="1:13">
      <c r="A39" s="115" t="s">
        <v>396</v>
      </c>
      <c r="B39" s="42" t="s">
        <v>329</v>
      </c>
      <c r="C39" s="43" t="s">
        <v>304</v>
      </c>
      <c r="D39" s="188">
        <f>D31+D32-D33+D34+D35+D36+D37-D38</f>
        <v>0</v>
      </c>
      <c r="E39" s="188">
        <f t="shared" ref="E39" si="10">E31+E32-E33+E34+E35+E36+E37-E38</f>
        <v>0</v>
      </c>
      <c r="F39" s="188">
        <f t="shared" ref="F39" si="11">F31+F32-F33+F34+F35+F36+F37-F38</f>
        <v>0</v>
      </c>
      <c r="G39" s="188">
        <f>G31+G32-G33+G34+G35+G36+G37-G38</f>
        <v>0</v>
      </c>
      <c r="H39" s="188">
        <f>H31+H32-H33+H37-H38</f>
        <v>0</v>
      </c>
      <c r="I39" s="191"/>
    </row>
    <row r="40" spans="1:13">
      <c r="A40" s="115" t="s">
        <v>482</v>
      </c>
      <c r="B40" s="63" t="s">
        <v>51</v>
      </c>
      <c r="C40" s="46" t="s">
        <v>305</v>
      </c>
      <c r="D40" s="127"/>
      <c r="E40" s="127"/>
      <c r="F40" s="127"/>
      <c r="G40" s="127"/>
      <c r="H40" s="127"/>
      <c r="I40" s="127"/>
    </row>
    <row r="41" spans="1:13">
      <c r="A41" s="115" t="s">
        <v>483</v>
      </c>
      <c r="B41" s="42" t="s">
        <v>328</v>
      </c>
      <c r="C41" s="43" t="s">
        <v>306</v>
      </c>
      <c r="D41" s="189">
        <f>SUM(E41:H41)</f>
        <v>0</v>
      </c>
      <c r="E41" s="186"/>
      <c r="F41" s="186"/>
      <c r="G41" s="186"/>
      <c r="H41" s="186"/>
      <c r="I41" s="186"/>
    </row>
    <row r="42" spans="1:13">
      <c r="A42" s="115" t="s">
        <v>484</v>
      </c>
      <c r="B42" s="42" t="s">
        <v>267</v>
      </c>
      <c r="C42" s="43" t="s">
        <v>307</v>
      </c>
      <c r="D42" s="189">
        <f t="shared" ref="D42:D43" si="12">SUM(E42:H42)</f>
        <v>0</v>
      </c>
      <c r="E42" s="186"/>
      <c r="F42" s="186"/>
      <c r="G42" s="186"/>
      <c r="H42" s="186"/>
      <c r="I42" s="189"/>
      <c r="J42" s="20"/>
      <c r="K42" s="20"/>
      <c r="L42" s="20"/>
      <c r="M42" s="20"/>
    </row>
    <row r="43" spans="1:13" ht="15.75" customHeight="1">
      <c r="A43" s="115" t="s">
        <v>485</v>
      </c>
      <c r="B43" s="42" t="s">
        <v>268</v>
      </c>
      <c r="C43" s="43" t="s">
        <v>308</v>
      </c>
      <c r="D43" s="189">
        <f t="shared" si="12"/>
        <v>0</v>
      </c>
      <c r="E43" s="186"/>
      <c r="F43" s="186"/>
      <c r="G43" s="186"/>
      <c r="H43" s="186"/>
      <c r="I43" s="189"/>
      <c r="J43" s="64"/>
      <c r="K43" s="64"/>
      <c r="L43" s="64"/>
      <c r="M43" s="64"/>
    </row>
    <row r="44" spans="1:13">
      <c r="A44" s="115" t="s">
        <v>486</v>
      </c>
      <c r="B44" s="42" t="s">
        <v>272</v>
      </c>
      <c r="C44" s="43" t="s">
        <v>309</v>
      </c>
      <c r="D44" s="189">
        <f>SUM(E44:H44)</f>
        <v>0</v>
      </c>
      <c r="E44" s="189">
        <f>-(F44+G44)</f>
        <v>0</v>
      </c>
      <c r="F44" s="186"/>
      <c r="G44" s="186"/>
      <c r="H44" s="189"/>
      <c r="I44" s="189"/>
      <c r="J44" s="20"/>
      <c r="K44" s="20"/>
      <c r="L44" s="20"/>
      <c r="M44" s="20"/>
    </row>
    <row r="45" spans="1:13">
      <c r="A45" s="115" t="s">
        <v>487</v>
      </c>
      <c r="B45" s="42" t="s">
        <v>273</v>
      </c>
      <c r="C45" s="43" t="s">
        <v>310</v>
      </c>
      <c r="D45" s="189">
        <f>SUM(E45:H45)</f>
        <v>0</v>
      </c>
      <c r="E45" s="186"/>
      <c r="F45" s="189">
        <f>-(E45+G45)</f>
        <v>0</v>
      </c>
      <c r="G45" s="186"/>
      <c r="H45" s="189"/>
      <c r="I45" s="189"/>
    </row>
    <row r="46" spans="1:13">
      <c r="A46" s="115" t="s">
        <v>488</v>
      </c>
      <c r="B46" s="42" t="s">
        <v>274</v>
      </c>
      <c r="C46" s="43" t="s">
        <v>311</v>
      </c>
      <c r="D46" s="189">
        <f t="shared" ref="D46" si="13">SUM(E46:H46)</f>
        <v>0</v>
      </c>
      <c r="E46" s="186"/>
      <c r="F46" s="186"/>
      <c r="G46" s="189">
        <f>-(E46+F46)</f>
        <v>0</v>
      </c>
      <c r="H46" s="189"/>
      <c r="I46" s="189"/>
    </row>
    <row r="47" spans="1:13" ht="20.25" customHeight="1">
      <c r="A47" s="115" t="s">
        <v>489</v>
      </c>
      <c r="B47" s="62" t="s">
        <v>269</v>
      </c>
      <c r="C47" s="43" t="s">
        <v>312</v>
      </c>
      <c r="D47" s="189">
        <f>SUM(E47:H47)</f>
        <v>0</v>
      </c>
      <c r="E47" s="186"/>
      <c r="F47" s="186"/>
      <c r="G47" s="186"/>
      <c r="H47" s="186"/>
      <c r="I47" s="189"/>
    </row>
    <row r="48" spans="1:13">
      <c r="A48" s="115" t="s">
        <v>490</v>
      </c>
      <c r="B48" s="42" t="s">
        <v>266</v>
      </c>
      <c r="C48" s="43" t="s">
        <v>313</v>
      </c>
      <c r="D48" s="189">
        <f>SUM(E48:H48)</f>
        <v>0</v>
      </c>
      <c r="E48" s="186"/>
      <c r="F48" s="186"/>
      <c r="G48" s="186"/>
      <c r="H48" s="186"/>
      <c r="I48" s="189"/>
    </row>
    <row r="49" spans="1:14" s="40" customFormat="1">
      <c r="A49" s="115" t="s">
        <v>397</v>
      </c>
      <c r="B49" s="42" t="s">
        <v>329</v>
      </c>
      <c r="C49" s="43" t="s">
        <v>314</v>
      </c>
      <c r="D49" s="188">
        <f>D41+D42-D43+D44+D45+D46+D47-D48</f>
        <v>0</v>
      </c>
      <c r="E49" s="188">
        <f t="shared" ref="E49" si="14">E41+E42-E43+E44+E45+E46+E47-E48</f>
        <v>0</v>
      </c>
      <c r="F49" s="188">
        <f>F41+F42-F43+F44+F45+F46+F47-F48</f>
        <v>0</v>
      </c>
      <c r="G49" s="188">
        <f>G41+G42-G43+G44+G45+G46+G47-G48</f>
        <v>0</v>
      </c>
      <c r="H49" s="188">
        <f>H41+H42-H43+H47-H48</f>
        <v>0</v>
      </c>
      <c r="I49" s="191"/>
      <c r="N49" s="39"/>
    </row>
    <row r="50" spans="1:14" s="40" customFormat="1" ht="20.25" customHeight="1">
      <c r="A50" s="114"/>
      <c r="B50" s="154" t="s">
        <v>358</v>
      </c>
      <c r="C50" s="154"/>
      <c r="D50" s="154"/>
      <c r="E50" s="154"/>
      <c r="F50" s="154"/>
      <c r="G50" s="154"/>
      <c r="H50" s="154"/>
      <c r="I50" s="154"/>
      <c r="N50" s="39"/>
    </row>
    <row r="51" spans="1:14" s="40" customFormat="1">
      <c r="A51" s="114"/>
      <c r="B51" s="155" t="s">
        <v>257</v>
      </c>
      <c r="C51" s="155"/>
      <c r="D51" s="155"/>
      <c r="E51" s="155"/>
      <c r="F51" s="155"/>
      <c r="G51" s="155"/>
      <c r="H51" s="155"/>
      <c r="I51" s="155"/>
      <c r="N51" s="39"/>
    </row>
    <row r="52" spans="1:14" ht="22.5" customHeight="1">
      <c r="B52" s="158" t="s">
        <v>93</v>
      </c>
      <c r="C52" s="158"/>
      <c r="D52" s="144" t="s">
        <v>205</v>
      </c>
      <c r="E52" s="144"/>
      <c r="F52" s="144"/>
      <c r="G52" s="144"/>
      <c r="H52" s="144"/>
      <c r="I52" s="144"/>
    </row>
    <row r="53" spans="1:14" ht="46.8">
      <c r="B53" s="158"/>
      <c r="C53" s="158"/>
      <c r="D53" s="1" t="s">
        <v>91</v>
      </c>
      <c r="E53" s="46" t="s">
        <v>1</v>
      </c>
      <c r="F53" s="46" t="s">
        <v>2</v>
      </c>
      <c r="G53" s="46" t="s">
        <v>3</v>
      </c>
      <c r="H53" s="2" t="s">
        <v>354</v>
      </c>
      <c r="I53" s="61" t="s">
        <v>356</v>
      </c>
    </row>
    <row r="54" spans="1:14">
      <c r="B54" s="156">
        <v>1</v>
      </c>
      <c r="C54" s="157"/>
      <c r="D54" s="46">
        <v>2</v>
      </c>
      <c r="E54" s="46">
        <v>3</v>
      </c>
      <c r="F54" s="46">
        <v>4</v>
      </c>
      <c r="G54" s="46">
        <v>5</v>
      </c>
      <c r="H54" s="46">
        <v>6</v>
      </c>
      <c r="I54" s="46">
        <v>7</v>
      </c>
    </row>
    <row r="55" spans="1:14">
      <c r="A55" s="117" t="s">
        <v>55</v>
      </c>
      <c r="B55" s="60" t="s">
        <v>365</v>
      </c>
      <c r="C55" s="46" t="s">
        <v>39</v>
      </c>
      <c r="D55" s="188">
        <f t="shared" ref="D55:I55" si="15">D58+D61+D64+D67</f>
        <v>0</v>
      </c>
      <c r="E55" s="188">
        <f t="shared" si="15"/>
        <v>0</v>
      </c>
      <c r="F55" s="188">
        <f t="shared" si="15"/>
        <v>0</v>
      </c>
      <c r="G55" s="188">
        <f t="shared" si="15"/>
        <v>0</v>
      </c>
      <c r="H55" s="188">
        <f>H58+H61+H64+H67</f>
        <v>0</v>
      </c>
      <c r="I55" s="188">
        <f t="shared" si="15"/>
        <v>0</v>
      </c>
    </row>
    <row r="56" spans="1:14">
      <c r="A56" s="117" t="s">
        <v>63</v>
      </c>
      <c r="B56" s="41" t="s">
        <v>24</v>
      </c>
      <c r="C56" s="46" t="s">
        <v>315</v>
      </c>
      <c r="D56" s="124"/>
      <c r="E56" s="125"/>
      <c r="F56" s="125"/>
      <c r="G56" s="125"/>
      <c r="H56" s="125"/>
      <c r="I56" s="126"/>
    </row>
    <row r="57" spans="1:14">
      <c r="A57" s="117" t="s">
        <v>69</v>
      </c>
      <c r="B57" s="42" t="s">
        <v>328</v>
      </c>
      <c r="C57" s="43" t="s">
        <v>316</v>
      </c>
      <c r="D57" s="189">
        <f>SUM(E57:H57)</f>
        <v>0</v>
      </c>
      <c r="E57" s="186"/>
      <c r="F57" s="186"/>
      <c r="G57" s="186"/>
      <c r="H57" s="186"/>
      <c r="I57" s="186"/>
    </row>
    <row r="58" spans="1:14">
      <c r="A58" s="117" t="s">
        <v>70</v>
      </c>
      <c r="B58" s="42" t="s">
        <v>329</v>
      </c>
      <c r="C58" s="43" t="s">
        <v>317</v>
      </c>
      <c r="D58" s="189">
        <f>SUM(E58:H58)</f>
        <v>0</v>
      </c>
      <c r="E58" s="186"/>
      <c r="F58" s="186"/>
      <c r="G58" s="186"/>
      <c r="H58" s="186"/>
      <c r="I58" s="186"/>
    </row>
    <row r="59" spans="1:14">
      <c r="A59" s="117" t="s">
        <v>389</v>
      </c>
      <c r="B59" s="41" t="s">
        <v>45</v>
      </c>
      <c r="C59" s="46" t="s">
        <v>318</v>
      </c>
      <c r="D59" s="192"/>
      <c r="E59" s="193"/>
      <c r="F59" s="193"/>
      <c r="G59" s="193"/>
      <c r="H59" s="193"/>
      <c r="I59" s="194"/>
    </row>
    <row r="60" spans="1:14">
      <c r="A60" s="117" t="s">
        <v>390</v>
      </c>
      <c r="B60" s="42" t="s">
        <v>328</v>
      </c>
      <c r="C60" s="43" t="s">
        <v>347</v>
      </c>
      <c r="D60" s="189">
        <f>SUM(E60:H60)</f>
        <v>0</v>
      </c>
      <c r="E60" s="186"/>
      <c r="F60" s="186"/>
      <c r="G60" s="186"/>
      <c r="H60" s="186"/>
      <c r="I60" s="186"/>
    </row>
    <row r="61" spans="1:14">
      <c r="A61" s="117" t="s">
        <v>391</v>
      </c>
      <c r="B61" s="42" t="s">
        <v>329</v>
      </c>
      <c r="C61" s="43" t="s">
        <v>348</v>
      </c>
      <c r="D61" s="189">
        <f>SUM(E61:H61)</f>
        <v>0</v>
      </c>
      <c r="E61" s="186"/>
      <c r="F61" s="186"/>
      <c r="G61" s="186"/>
      <c r="H61" s="186"/>
      <c r="I61" s="186"/>
    </row>
    <row r="62" spans="1:14">
      <c r="A62" s="117" t="s">
        <v>392</v>
      </c>
      <c r="B62" s="63" t="s">
        <v>50</v>
      </c>
      <c r="C62" s="46" t="s">
        <v>319</v>
      </c>
      <c r="D62" s="128"/>
      <c r="E62" s="129"/>
      <c r="F62" s="129"/>
      <c r="G62" s="129"/>
      <c r="H62" s="129"/>
      <c r="I62" s="130"/>
    </row>
    <row r="63" spans="1:14">
      <c r="A63" s="117" t="s">
        <v>393</v>
      </c>
      <c r="B63" s="42" t="s">
        <v>328</v>
      </c>
      <c r="C63" s="43" t="s">
        <v>349</v>
      </c>
      <c r="D63" s="195">
        <f>SUM(E63:H63)</f>
        <v>0</v>
      </c>
      <c r="E63" s="196"/>
      <c r="F63" s="196"/>
      <c r="G63" s="196"/>
      <c r="H63" s="196"/>
      <c r="I63" s="186"/>
    </row>
    <row r="64" spans="1:14">
      <c r="A64" s="117" t="s">
        <v>411</v>
      </c>
      <c r="B64" s="42" t="s">
        <v>329</v>
      </c>
      <c r="C64" s="43" t="s">
        <v>350</v>
      </c>
      <c r="D64" s="189">
        <f>SUM(E64:H64)</f>
        <v>0</v>
      </c>
      <c r="E64" s="186"/>
      <c r="F64" s="186"/>
      <c r="G64" s="186"/>
      <c r="H64" s="186"/>
      <c r="I64" s="186"/>
    </row>
    <row r="65" spans="1:9">
      <c r="A65" s="117" t="s">
        <v>409</v>
      </c>
      <c r="B65" s="63" t="s">
        <v>51</v>
      </c>
      <c r="C65" s="46" t="s">
        <v>320</v>
      </c>
      <c r="D65" s="128"/>
      <c r="E65" s="129"/>
      <c r="F65" s="129"/>
      <c r="G65" s="129"/>
      <c r="H65" s="129"/>
      <c r="I65" s="130"/>
    </row>
    <row r="66" spans="1:9">
      <c r="A66" s="117" t="s">
        <v>412</v>
      </c>
      <c r="B66" s="42" t="s">
        <v>328</v>
      </c>
      <c r="C66" s="43" t="s">
        <v>351</v>
      </c>
      <c r="D66" s="195">
        <f>SUM(E66:H66)</f>
        <v>0</v>
      </c>
      <c r="E66" s="196"/>
      <c r="F66" s="196"/>
      <c r="G66" s="196"/>
      <c r="H66" s="196"/>
      <c r="I66" s="186"/>
    </row>
    <row r="67" spans="1:9">
      <c r="A67" s="117" t="s">
        <v>413</v>
      </c>
      <c r="B67" s="42" t="s">
        <v>329</v>
      </c>
      <c r="C67" s="43" t="s">
        <v>352</v>
      </c>
      <c r="D67" s="189">
        <f>SUM(E67:H67)</f>
        <v>0</v>
      </c>
      <c r="E67" s="186"/>
      <c r="F67" s="186"/>
      <c r="G67" s="186"/>
      <c r="H67" s="186"/>
      <c r="I67" s="186"/>
    </row>
    <row r="68" spans="1:9" ht="28.2" customHeight="1"/>
    <row r="69" spans="1:9" ht="10.5" customHeight="1"/>
    <row r="70" spans="1:9">
      <c r="A70" s="117" t="s">
        <v>72</v>
      </c>
      <c r="B70" s="31" t="s">
        <v>323</v>
      </c>
    </row>
    <row r="71" spans="1:9" ht="18" customHeight="1">
      <c r="A71" s="117" t="s">
        <v>80</v>
      </c>
      <c r="B71" s="38" t="s">
        <v>342</v>
      </c>
    </row>
    <row r="72" spans="1:9">
      <c r="A72" s="117" t="s">
        <v>86</v>
      </c>
      <c r="B72" s="31" t="s">
        <v>357</v>
      </c>
    </row>
  </sheetData>
  <sheetProtection algorithmName="SHA-512" hashValue="jfi8WCM3jx5nJ1X/mh8PWFyiAyPBk6SE60cusEWx2xAgmXb5ibcibDaFxqdnE9lhXTh0RoUhqwEDhtRayWydDQ==" saltValue="yOfZvCQEfpQ1zBIotH7Crw==" spinCount="100000" sheet="1" objects="1" scenarios="1"/>
  <mergeCells count="14">
    <mergeCell ref="B3:I3"/>
    <mergeCell ref="B4:I4"/>
    <mergeCell ref="B2:I2"/>
    <mergeCell ref="D59:I59"/>
    <mergeCell ref="B6:B7"/>
    <mergeCell ref="C6:C7"/>
    <mergeCell ref="B8:C8"/>
    <mergeCell ref="B50:I50"/>
    <mergeCell ref="B51:I51"/>
    <mergeCell ref="B52:B53"/>
    <mergeCell ref="C52:C53"/>
    <mergeCell ref="B54:C54"/>
    <mergeCell ref="D52:I52"/>
    <mergeCell ref="D6:I6"/>
  </mergeCells>
  <phoneticPr fontId="52" type="noConversion"/>
  <conditionalFormatting sqref="D6">
    <cfRule type="expression" dxfId="15" priority="4">
      <formula>#REF!="PLEASE CORRECT ALL COMPARISON RULES"</formula>
    </cfRule>
  </conditionalFormatting>
  <conditionalFormatting sqref="D52">
    <cfRule type="expression" dxfId="14" priority="1">
      <formula>#REF!="PLEASE CORRECT ALL COMPARISON RULES"</formula>
    </cfRule>
  </conditionalFormatting>
  <pageMargins left="0.7" right="0.7" top="0.75" bottom="0.75" header="0.3" footer="0.3"/>
  <pageSetup paperSize="9" scale="5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68036-0E23-404F-9996-4B1EC1CFC341}">
  <dimension ref="A1:H48"/>
  <sheetViews>
    <sheetView showGridLines="0" zoomScale="70" zoomScaleNormal="70" workbookViewId="0">
      <selection activeCell="G18" sqref="G18"/>
    </sheetView>
  </sheetViews>
  <sheetFormatPr defaultColWidth="9.109375" defaultRowHeight="15.6"/>
  <cols>
    <col min="1" max="1" width="9.109375" style="117"/>
    <col min="2" max="2" width="35.77734375" style="39" bestFit="1" customWidth="1"/>
    <col min="3" max="3" width="9.33203125" style="39" customWidth="1"/>
    <col min="4" max="5" width="12.44140625" style="39" customWidth="1"/>
    <col min="6" max="8" width="12.44140625" style="40" customWidth="1"/>
    <col min="9" max="9" width="7.88671875" style="39" customWidth="1"/>
    <col min="10" max="16384" width="9.109375" style="39"/>
  </cols>
  <sheetData>
    <row r="1" spans="1:8" s="52" customFormat="1">
      <c r="A1" s="112"/>
      <c r="F1" s="53"/>
      <c r="G1" s="53"/>
      <c r="H1" s="53"/>
    </row>
    <row r="2" spans="1:8" s="54" customFormat="1">
      <c r="A2" s="113"/>
      <c r="B2" s="155" t="s">
        <v>383</v>
      </c>
      <c r="C2" s="155"/>
      <c r="D2" s="155"/>
      <c r="E2" s="155"/>
      <c r="F2" s="155"/>
      <c r="G2" s="155"/>
      <c r="H2" s="155"/>
    </row>
    <row r="3" spans="1:8" s="54" customFormat="1">
      <c r="A3" s="113"/>
      <c r="B3" s="155" t="s">
        <v>384</v>
      </c>
      <c r="C3" s="161"/>
      <c r="D3" s="161"/>
      <c r="E3" s="161"/>
      <c r="F3" s="161"/>
      <c r="G3" s="161"/>
      <c r="H3" s="161"/>
    </row>
    <row r="4" spans="1:8" s="54" customFormat="1">
      <c r="A4" s="113"/>
      <c r="B4" s="155" t="s">
        <v>257</v>
      </c>
      <c r="C4" s="155"/>
      <c r="D4" s="155"/>
      <c r="E4" s="155"/>
      <c r="F4" s="155"/>
      <c r="G4" s="155"/>
      <c r="H4" s="155"/>
    </row>
    <row r="5" spans="1:8" s="54" customFormat="1" ht="16.2" thickBot="1">
      <c r="A5" s="205"/>
      <c r="C5" s="19"/>
      <c r="D5" s="19"/>
      <c r="E5" s="19"/>
      <c r="F5" s="19"/>
      <c r="G5" s="19"/>
      <c r="H5" s="32" t="s">
        <v>0</v>
      </c>
    </row>
    <row r="6" spans="1:8" s="55" customFormat="1">
      <c r="A6" s="117"/>
      <c r="B6" s="162" t="s">
        <v>93</v>
      </c>
      <c r="C6" s="163"/>
      <c r="D6" s="166" t="s">
        <v>91</v>
      </c>
      <c r="E6" s="67"/>
      <c r="F6" s="167" t="s">
        <v>332</v>
      </c>
      <c r="G6" s="167"/>
      <c r="H6" s="168"/>
    </row>
    <row r="7" spans="1:8" s="40" customFormat="1" ht="31.8" thickBot="1">
      <c r="A7" s="115"/>
      <c r="B7" s="164"/>
      <c r="C7" s="165"/>
      <c r="D7" s="157"/>
      <c r="E7" s="48" t="s">
        <v>335</v>
      </c>
      <c r="F7" s="1" t="s">
        <v>333</v>
      </c>
      <c r="G7" s="48" t="s">
        <v>334</v>
      </c>
      <c r="H7" s="50" t="s">
        <v>366</v>
      </c>
    </row>
    <row r="8" spans="1:8">
      <c r="B8" s="159">
        <v>1</v>
      </c>
      <c r="C8" s="160"/>
      <c r="D8" s="49">
        <v>2</v>
      </c>
      <c r="E8" s="48">
        <v>4</v>
      </c>
      <c r="F8" s="48">
        <v>5</v>
      </c>
      <c r="G8" s="48">
        <v>6</v>
      </c>
      <c r="H8" s="37">
        <v>7</v>
      </c>
    </row>
    <row r="9" spans="1:8">
      <c r="A9" s="117" t="s">
        <v>23</v>
      </c>
      <c r="B9" s="33" t="s">
        <v>340</v>
      </c>
      <c r="C9" s="37" t="s">
        <v>23</v>
      </c>
      <c r="D9" s="197">
        <f>SUM(D10,D14,D18,D22)</f>
        <v>0</v>
      </c>
      <c r="E9" s="188">
        <f t="shared" ref="E9:F9" si="0">SUM(E10,E14,E18,E22)</f>
        <v>0</v>
      </c>
      <c r="F9" s="188">
        <f t="shared" si="0"/>
        <v>0</v>
      </c>
      <c r="G9" s="188">
        <f>SUM(G10,G14,G18,G22)</f>
        <v>0</v>
      </c>
      <c r="H9" s="198">
        <f>SUM(H10,H14,H18,H22)</f>
        <v>0</v>
      </c>
    </row>
    <row r="10" spans="1:8">
      <c r="A10" s="117" t="s">
        <v>39</v>
      </c>
      <c r="B10" s="34" t="s">
        <v>331</v>
      </c>
      <c r="C10" s="35" t="s">
        <v>275</v>
      </c>
      <c r="D10" s="199">
        <f>SUM(D11:D13)</f>
        <v>0</v>
      </c>
      <c r="E10" s="189">
        <f>SUM(E11:E13)</f>
        <v>0</v>
      </c>
      <c r="F10" s="189">
        <f t="shared" ref="F10:H10" si="1">SUM(F11:F13)</f>
        <v>0</v>
      </c>
      <c r="G10" s="189">
        <f t="shared" si="1"/>
        <v>0</v>
      </c>
      <c r="H10" s="200">
        <f t="shared" si="1"/>
        <v>0</v>
      </c>
    </row>
    <row r="11" spans="1:8">
      <c r="A11" s="117" t="s">
        <v>52</v>
      </c>
      <c r="B11" s="66" t="s">
        <v>1</v>
      </c>
      <c r="C11" s="35" t="s">
        <v>276</v>
      </c>
      <c r="D11" s="199">
        <f>SUM(E11:H11)</f>
        <v>0</v>
      </c>
      <c r="E11" s="190"/>
      <c r="F11" s="190"/>
      <c r="G11" s="190"/>
      <c r="H11" s="201"/>
    </row>
    <row r="12" spans="1:8">
      <c r="A12" s="117" t="s">
        <v>53</v>
      </c>
      <c r="B12" s="66" t="s">
        <v>2</v>
      </c>
      <c r="C12" s="35" t="s">
        <v>277</v>
      </c>
      <c r="D12" s="199">
        <f t="shared" ref="D12:D21" si="2">SUM(E12:H12)</f>
        <v>0</v>
      </c>
      <c r="E12" s="190"/>
      <c r="F12" s="190"/>
      <c r="G12" s="190"/>
      <c r="H12" s="201"/>
    </row>
    <row r="13" spans="1:8">
      <c r="A13" s="117" t="s">
        <v>388</v>
      </c>
      <c r="B13" s="66" t="s">
        <v>3</v>
      </c>
      <c r="C13" s="35" t="s">
        <v>278</v>
      </c>
      <c r="D13" s="199">
        <f t="shared" si="2"/>
        <v>0</v>
      </c>
      <c r="E13" s="190"/>
      <c r="F13" s="190"/>
      <c r="G13" s="190"/>
      <c r="H13" s="201"/>
    </row>
    <row r="14" spans="1:8">
      <c r="A14" s="117" t="s">
        <v>398</v>
      </c>
      <c r="B14" s="34" t="s">
        <v>336</v>
      </c>
      <c r="C14" s="35" t="s">
        <v>285</v>
      </c>
      <c r="D14" s="199">
        <f>SUM(D15:D17)</f>
        <v>0</v>
      </c>
      <c r="E14" s="189">
        <f t="shared" ref="E14" si="3">SUM(E15:E17)</f>
        <v>0</v>
      </c>
      <c r="F14" s="189">
        <f t="shared" ref="F14" si="4">SUM(F15:F17)</f>
        <v>0</v>
      </c>
      <c r="G14" s="189">
        <f t="shared" ref="G14" si="5">SUM(G15:G17)</f>
        <v>0</v>
      </c>
      <c r="H14" s="200">
        <f>SUM(H15:H17)</f>
        <v>0</v>
      </c>
    </row>
    <row r="15" spans="1:8">
      <c r="A15" s="117" t="s">
        <v>399</v>
      </c>
      <c r="B15" s="66" t="s">
        <v>1</v>
      </c>
      <c r="C15" s="35" t="s">
        <v>286</v>
      </c>
      <c r="D15" s="199">
        <f t="shared" si="2"/>
        <v>0</v>
      </c>
      <c r="E15" s="190"/>
      <c r="F15" s="190"/>
      <c r="G15" s="190"/>
      <c r="H15" s="201"/>
    </row>
    <row r="16" spans="1:8">
      <c r="A16" s="117" t="s">
        <v>400</v>
      </c>
      <c r="B16" s="66" t="s">
        <v>2</v>
      </c>
      <c r="C16" s="35" t="s">
        <v>287</v>
      </c>
      <c r="D16" s="199">
        <f>SUM(E16:H16)</f>
        <v>0</v>
      </c>
      <c r="E16" s="190"/>
      <c r="F16" s="190"/>
      <c r="G16" s="190"/>
      <c r="H16" s="201"/>
    </row>
    <row r="17" spans="1:8">
      <c r="A17" s="117" t="s">
        <v>401</v>
      </c>
      <c r="B17" s="66" t="s">
        <v>3</v>
      </c>
      <c r="C17" s="35" t="s">
        <v>288</v>
      </c>
      <c r="D17" s="199">
        <f t="shared" si="2"/>
        <v>0</v>
      </c>
      <c r="E17" s="190"/>
      <c r="F17" s="190"/>
      <c r="G17" s="190"/>
      <c r="H17" s="201"/>
    </row>
    <row r="18" spans="1:8">
      <c r="A18" s="117" t="s">
        <v>402</v>
      </c>
      <c r="B18" s="36" t="s">
        <v>337</v>
      </c>
      <c r="C18" s="35" t="s">
        <v>295</v>
      </c>
      <c r="D18" s="199">
        <f>SUM(D19:D21)</f>
        <v>0</v>
      </c>
      <c r="E18" s="189">
        <f t="shared" ref="E18" si="6">SUM(E19:E21)</f>
        <v>0</v>
      </c>
      <c r="F18" s="189">
        <f>SUM(F19:F21)</f>
        <v>0</v>
      </c>
      <c r="G18" s="189">
        <f t="shared" ref="G18" si="7">SUM(G19:G21)</f>
        <v>0</v>
      </c>
      <c r="H18" s="200">
        <f t="shared" ref="H18" si="8">SUM(H19:H21)</f>
        <v>0</v>
      </c>
    </row>
    <row r="19" spans="1:8">
      <c r="A19" s="117" t="s">
        <v>394</v>
      </c>
      <c r="B19" s="66" t="s">
        <v>1</v>
      </c>
      <c r="C19" s="35" t="s">
        <v>296</v>
      </c>
      <c r="D19" s="199">
        <f t="shared" si="2"/>
        <v>0</v>
      </c>
      <c r="E19" s="190"/>
      <c r="F19" s="190"/>
      <c r="G19" s="190"/>
      <c r="H19" s="201"/>
    </row>
    <row r="20" spans="1:8">
      <c r="A20" s="117" t="s">
        <v>403</v>
      </c>
      <c r="B20" s="66" t="s">
        <v>2</v>
      </c>
      <c r="C20" s="35" t="s">
        <v>297</v>
      </c>
      <c r="D20" s="199">
        <f>SUM(E20:H20)</f>
        <v>0</v>
      </c>
      <c r="E20" s="190"/>
      <c r="F20" s="190"/>
      <c r="G20" s="190"/>
      <c r="H20" s="201"/>
    </row>
    <row r="21" spans="1:8">
      <c r="A21" s="117" t="s">
        <v>404</v>
      </c>
      <c r="B21" s="66" t="s">
        <v>3</v>
      </c>
      <c r="C21" s="35" t="s">
        <v>298</v>
      </c>
      <c r="D21" s="199">
        <f t="shared" si="2"/>
        <v>0</v>
      </c>
      <c r="E21" s="190"/>
      <c r="F21" s="190"/>
      <c r="G21" s="190"/>
      <c r="H21" s="201"/>
    </row>
    <row r="22" spans="1:8">
      <c r="A22" s="117" t="s">
        <v>405</v>
      </c>
      <c r="B22" s="36" t="s">
        <v>338</v>
      </c>
      <c r="C22" s="35" t="s">
        <v>305</v>
      </c>
      <c r="D22" s="199">
        <f>SUM(D23:D25)</f>
        <v>0</v>
      </c>
      <c r="E22" s="189">
        <f t="shared" ref="E22" si="9">SUM(E23:E25)</f>
        <v>0</v>
      </c>
      <c r="F22" s="189">
        <f t="shared" ref="F22" si="10">SUM(F23:F25)</f>
        <v>0</v>
      </c>
      <c r="G22" s="189">
        <f t="shared" ref="G22" si="11">SUM(G23:G25)</f>
        <v>0</v>
      </c>
      <c r="H22" s="200">
        <f>SUM(H23:H25)</f>
        <v>0</v>
      </c>
    </row>
    <row r="23" spans="1:8">
      <c r="A23" s="117" t="s">
        <v>406</v>
      </c>
      <c r="B23" s="66" t="s">
        <v>1</v>
      </c>
      <c r="C23" s="35" t="s">
        <v>306</v>
      </c>
      <c r="D23" s="199">
        <f>SUM(E23:H23)</f>
        <v>0</v>
      </c>
      <c r="E23" s="190"/>
      <c r="F23" s="190"/>
      <c r="G23" s="190"/>
      <c r="H23" s="201"/>
    </row>
    <row r="24" spans="1:8">
      <c r="A24" s="117" t="s">
        <v>407</v>
      </c>
      <c r="B24" s="66" t="s">
        <v>2</v>
      </c>
      <c r="C24" s="35" t="s">
        <v>307</v>
      </c>
      <c r="D24" s="199">
        <f t="shared" ref="D24:D25" si="12">SUM(E24:H24)</f>
        <v>0</v>
      </c>
      <c r="E24" s="190"/>
      <c r="F24" s="190"/>
      <c r="G24" s="190"/>
      <c r="H24" s="201"/>
    </row>
    <row r="25" spans="1:8" ht="16.2" thickBot="1">
      <c r="A25" s="117" t="s">
        <v>408</v>
      </c>
      <c r="B25" s="68" t="s">
        <v>3</v>
      </c>
      <c r="C25" s="69" t="s">
        <v>308</v>
      </c>
      <c r="D25" s="202">
        <f t="shared" si="12"/>
        <v>0</v>
      </c>
      <c r="E25" s="203"/>
      <c r="F25" s="203"/>
      <c r="G25" s="203"/>
      <c r="H25" s="204"/>
    </row>
    <row r="26" spans="1:8">
      <c r="A26" s="112"/>
      <c r="B26" s="155" t="s">
        <v>385</v>
      </c>
      <c r="C26" s="161"/>
      <c r="D26" s="161"/>
      <c r="E26" s="161"/>
      <c r="F26" s="161"/>
      <c r="G26" s="161"/>
      <c r="H26" s="161"/>
    </row>
    <row r="27" spans="1:8">
      <c r="A27" s="112"/>
      <c r="B27" s="155" t="s">
        <v>258</v>
      </c>
      <c r="C27" s="155"/>
      <c r="D27" s="155"/>
      <c r="E27" s="155"/>
      <c r="F27" s="155"/>
      <c r="G27" s="155"/>
      <c r="H27" s="155"/>
    </row>
    <row r="28" spans="1:8" ht="16.2" thickBot="1">
      <c r="A28" s="112"/>
      <c r="B28" s="54"/>
      <c r="C28" s="19"/>
      <c r="D28" s="19"/>
      <c r="E28" s="19"/>
      <c r="F28" s="19"/>
      <c r="G28" s="19"/>
      <c r="H28" s="32" t="s">
        <v>0</v>
      </c>
    </row>
    <row r="29" spans="1:8">
      <c r="B29" s="162" t="s">
        <v>93</v>
      </c>
      <c r="C29" s="163"/>
      <c r="D29" s="166" t="s">
        <v>91</v>
      </c>
      <c r="E29" s="67"/>
      <c r="F29" s="167" t="s">
        <v>332</v>
      </c>
      <c r="G29" s="167"/>
      <c r="H29" s="168"/>
    </row>
    <row r="30" spans="1:8" ht="31.8" thickBot="1">
      <c r="B30" s="164"/>
      <c r="C30" s="165"/>
      <c r="D30" s="157"/>
      <c r="E30" s="48" t="s">
        <v>335</v>
      </c>
      <c r="F30" s="1" t="s">
        <v>333</v>
      </c>
      <c r="G30" s="48" t="s">
        <v>334</v>
      </c>
      <c r="H30" s="50" t="s">
        <v>366</v>
      </c>
    </row>
    <row r="31" spans="1:8">
      <c r="B31" s="159">
        <v>1</v>
      </c>
      <c r="C31" s="160"/>
      <c r="D31" s="49">
        <v>2</v>
      </c>
      <c r="E31" s="48">
        <v>4</v>
      </c>
      <c r="F31" s="48">
        <v>5</v>
      </c>
      <c r="G31" s="48">
        <v>6</v>
      </c>
      <c r="H31" s="37">
        <v>7</v>
      </c>
    </row>
    <row r="32" spans="1:8">
      <c r="A32" s="117" t="s">
        <v>55</v>
      </c>
      <c r="B32" s="33" t="s">
        <v>340</v>
      </c>
      <c r="C32" s="37" t="s">
        <v>55</v>
      </c>
      <c r="D32" s="197">
        <f>SUM(D33,D37,D41,D45)</f>
        <v>0</v>
      </c>
      <c r="E32" s="188">
        <f t="shared" ref="E32" si="13">SUM(E33,E37,E41,E45)</f>
        <v>0</v>
      </c>
      <c r="F32" s="188">
        <f t="shared" ref="F32" si="14">SUM(F33,F37,F41,F45)</f>
        <v>0</v>
      </c>
      <c r="G32" s="188">
        <f>SUM(G33,G37,G41,G45)</f>
        <v>0</v>
      </c>
      <c r="H32" s="198">
        <f>SUM(H33,H37,H41,H45)</f>
        <v>0</v>
      </c>
    </row>
    <row r="33" spans="1:8">
      <c r="A33" s="117" t="s">
        <v>63</v>
      </c>
      <c r="B33" s="34" t="s">
        <v>331</v>
      </c>
      <c r="C33" s="35" t="s">
        <v>367</v>
      </c>
      <c r="D33" s="199">
        <f>SUM(D34:D36)</f>
        <v>0</v>
      </c>
      <c r="E33" s="189">
        <f t="shared" ref="E33" si="15">SUM(E34:E36)</f>
        <v>0</v>
      </c>
      <c r="F33" s="189">
        <f t="shared" ref="F33" si="16">SUM(F34:F36)</f>
        <v>0</v>
      </c>
      <c r="G33" s="189">
        <f t="shared" ref="G33" si="17">SUM(G34:G36)</f>
        <v>0</v>
      </c>
      <c r="H33" s="200">
        <f t="shared" ref="H33" si="18">SUM(H34:H36)</f>
        <v>0</v>
      </c>
    </row>
    <row r="34" spans="1:8">
      <c r="A34" s="117" t="s">
        <v>69</v>
      </c>
      <c r="B34" s="66" t="s">
        <v>1</v>
      </c>
      <c r="C34" s="35" t="s">
        <v>368</v>
      </c>
      <c r="D34" s="199">
        <f>SUM(E34:H34)</f>
        <v>0</v>
      </c>
      <c r="E34" s="190"/>
      <c r="F34" s="190"/>
      <c r="G34" s="190"/>
      <c r="H34" s="201"/>
    </row>
    <row r="35" spans="1:8">
      <c r="A35" s="117" t="s">
        <v>70</v>
      </c>
      <c r="B35" s="66" t="s">
        <v>2</v>
      </c>
      <c r="C35" s="35" t="s">
        <v>369</v>
      </c>
      <c r="D35" s="199">
        <f t="shared" ref="D35:D36" si="19">SUM(E35:H35)</f>
        <v>0</v>
      </c>
      <c r="E35" s="190"/>
      <c r="F35" s="190"/>
      <c r="G35" s="190"/>
      <c r="H35" s="201"/>
    </row>
    <row r="36" spans="1:8">
      <c r="A36" s="117" t="s">
        <v>389</v>
      </c>
      <c r="B36" s="66" t="s">
        <v>3</v>
      </c>
      <c r="C36" s="35" t="s">
        <v>370</v>
      </c>
      <c r="D36" s="199">
        <f t="shared" si="19"/>
        <v>0</v>
      </c>
      <c r="E36" s="190"/>
      <c r="F36" s="190"/>
      <c r="G36" s="190"/>
      <c r="H36" s="201"/>
    </row>
    <row r="37" spans="1:8">
      <c r="A37" s="117" t="s">
        <v>390</v>
      </c>
      <c r="B37" s="34" t="s">
        <v>336</v>
      </c>
      <c r="C37" s="35" t="s">
        <v>371</v>
      </c>
      <c r="D37" s="199">
        <f>SUM(D38:D40)</f>
        <v>0</v>
      </c>
      <c r="E37" s="189">
        <f t="shared" ref="E37" si="20">SUM(E38:E40)</f>
        <v>0</v>
      </c>
      <c r="F37" s="189">
        <f t="shared" ref="F37" si="21">SUM(F38:F40)</f>
        <v>0</v>
      </c>
      <c r="G37" s="189">
        <f t="shared" ref="G37" si="22">SUM(G38:G40)</f>
        <v>0</v>
      </c>
      <c r="H37" s="200">
        <f t="shared" ref="H37" si="23">SUM(H38:H40)</f>
        <v>0</v>
      </c>
    </row>
    <row r="38" spans="1:8">
      <c r="A38" s="117" t="s">
        <v>391</v>
      </c>
      <c r="B38" s="66" t="s">
        <v>1</v>
      </c>
      <c r="C38" s="35" t="s">
        <v>372</v>
      </c>
      <c r="D38" s="199">
        <f t="shared" ref="D38:D40" si="24">SUM(E38:H38)</f>
        <v>0</v>
      </c>
      <c r="E38" s="190"/>
      <c r="F38" s="190"/>
      <c r="G38" s="190"/>
      <c r="H38" s="201"/>
    </row>
    <row r="39" spans="1:8">
      <c r="A39" s="117" t="s">
        <v>392</v>
      </c>
      <c r="B39" s="66" t="s">
        <v>2</v>
      </c>
      <c r="C39" s="35" t="s">
        <v>373</v>
      </c>
      <c r="D39" s="199">
        <f t="shared" si="24"/>
        <v>0</v>
      </c>
      <c r="E39" s="190"/>
      <c r="F39" s="190"/>
      <c r="G39" s="190"/>
      <c r="H39" s="201"/>
    </row>
    <row r="40" spans="1:8">
      <c r="A40" s="117" t="s">
        <v>393</v>
      </c>
      <c r="B40" s="66" t="s">
        <v>3</v>
      </c>
      <c r="C40" s="35" t="s">
        <v>374</v>
      </c>
      <c r="D40" s="199">
        <f t="shared" si="24"/>
        <v>0</v>
      </c>
      <c r="E40" s="190"/>
      <c r="F40" s="190"/>
      <c r="G40" s="190"/>
      <c r="H40" s="201"/>
    </row>
    <row r="41" spans="1:8">
      <c r="A41" s="117" t="s">
        <v>411</v>
      </c>
      <c r="B41" s="36" t="s">
        <v>337</v>
      </c>
      <c r="C41" s="35" t="s">
        <v>375</v>
      </c>
      <c r="D41" s="199">
        <f>SUM(D42:D44)</f>
        <v>0</v>
      </c>
      <c r="E41" s="189">
        <f t="shared" ref="E41" si="25">SUM(E42:E44)</f>
        <v>0</v>
      </c>
      <c r="F41" s="189">
        <f>SUM(F42:F44)</f>
        <v>0</v>
      </c>
      <c r="G41" s="189">
        <f t="shared" ref="G41" si="26">SUM(G42:G44)</f>
        <v>0</v>
      </c>
      <c r="H41" s="200">
        <f t="shared" ref="H41" si="27">SUM(H42:H44)</f>
        <v>0</v>
      </c>
    </row>
    <row r="42" spans="1:8">
      <c r="A42" s="117" t="s">
        <v>409</v>
      </c>
      <c r="B42" s="66" t="s">
        <v>1</v>
      </c>
      <c r="C42" s="35" t="s">
        <v>376</v>
      </c>
      <c r="D42" s="199">
        <f t="shared" ref="D42" si="28">SUM(E42:H42)</f>
        <v>0</v>
      </c>
      <c r="E42" s="190"/>
      <c r="F42" s="190"/>
      <c r="G42" s="190"/>
      <c r="H42" s="201"/>
    </row>
    <row r="43" spans="1:8">
      <c r="A43" s="117" t="s">
        <v>412</v>
      </c>
      <c r="B43" s="66" t="s">
        <v>2</v>
      </c>
      <c r="C43" s="35" t="s">
        <v>377</v>
      </c>
      <c r="D43" s="199">
        <f>SUM(E43:H43)</f>
        <v>0</v>
      </c>
      <c r="E43" s="190"/>
      <c r="F43" s="190"/>
      <c r="G43" s="190"/>
      <c r="H43" s="201"/>
    </row>
    <row r="44" spans="1:8">
      <c r="A44" s="117" t="s">
        <v>413</v>
      </c>
      <c r="B44" s="66" t="s">
        <v>3</v>
      </c>
      <c r="C44" s="35" t="s">
        <v>378</v>
      </c>
      <c r="D44" s="199">
        <f t="shared" ref="D44" si="29">SUM(E44:H44)</f>
        <v>0</v>
      </c>
      <c r="E44" s="190"/>
      <c r="F44" s="190"/>
      <c r="G44" s="190"/>
      <c r="H44" s="201"/>
    </row>
    <row r="45" spans="1:8">
      <c r="A45" s="117" t="s">
        <v>414</v>
      </c>
      <c r="B45" s="36" t="s">
        <v>338</v>
      </c>
      <c r="C45" s="35" t="s">
        <v>379</v>
      </c>
      <c r="D45" s="199">
        <f>SUM(D46:D48)</f>
        <v>0</v>
      </c>
      <c r="E45" s="189">
        <f t="shared" ref="E45" si="30">SUM(E46:E48)</f>
        <v>0</v>
      </c>
      <c r="F45" s="189">
        <f t="shared" ref="F45" si="31">SUM(F46:F48)</f>
        <v>0</v>
      </c>
      <c r="G45" s="189">
        <f>SUM(G46:G48)</f>
        <v>0</v>
      </c>
      <c r="H45" s="200">
        <f t="shared" ref="H45" si="32">SUM(H46:H48)</f>
        <v>0</v>
      </c>
    </row>
    <row r="46" spans="1:8">
      <c r="A46" s="117" t="s">
        <v>415</v>
      </c>
      <c r="B46" s="66" t="s">
        <v>1</v>
      </c>
      <c r="C46" s="35" t="s">
        <v>380</v>
      </c>
      <c r="D46" s="199">
        <f>SUM(E46:H46)</f>
        <v>0</v>
      </c>
      <c r="E46" s="190"/>
      <c r="F46" s="190"/>
      <c r="G46" s="190"/>
      <c r="H46" s="201"/>
    </row>
    <row r="47" spans="1:8">
      <c r="A47" s="117" t="s">
        <v>416</v>
      </c>
      <c r="B47" s="66" t="s">
        <v>2</v>
      </c>
      <c r="C47" s="35" t="s">
        <v>381</v>
      </c>
      <c r="D47" s="199">
        <f t="shared" ref="D47:D48" si="33">SUM(E47:H47)</f>
        <v>0</v>
      </c>
      <c r="E47" s="190"/>
      <c r="F47" s="190"/>
      <c r="G47" s="190"/>
      <c r="H47" s="201"/>
    </row>
    <row r="48" spans="1:8" ht="16.2" thickBot="1">
      <c r="A48" s="117" t="s">
        <v>417</v>
      </c>
      <c r="B48" s="68" t="s">
        <v>3</v>
      </c>
      <c r="C48" s="69" t="s">
        <v>382</v>
      </c>
      <c r="D48" s="202">
        <f t="shared" si="33"/>
        <v>0</v>
      </c>
      <c r="E48" s="203"/>
      <c r="F48" s="203"/>
      <c r="G48" s="203"/>
      <c r="H48" s="204"/>
    </row>
  </sheetData>
  <sheetProtection algorithmName="SHA-512" hashValue="cP3Y6lZqePHX3UJVcF3lavnt6Uyg3sJR8bDQiFCts1ZHps6KNtVkzklDQ6qYIEsqvOPkqn5wg2+hdsAkM2N2mQ==" saltValue="B7E3nlwCnjlHSYYE5T1cxA==" spinCount="100000" sheet="1" objects="1" scenarios="1"/>
  <mergeCells count="13">
    <mergeCell ref="B31:C31"/>
    <mergeCell ref="B2:H2"/>
    <mergeCell ref="B3:H3"/>
    <mergeCell ref="B4:H4"/>
    <mergeCell ref="B6:C7"/>
    <mergeCell ref="D6:D7"/>
    <mergeCell ref="F6:H6"/>
    <mergeCell ref="B26:H26"/>
    <mergeCell ref="B27:H27"/>
    <mergeCell ref="B8:C8"/>
    <mergeCell ref="F29:H29"/>
    <mergeCell ref="B29:C30"/>
    <mergeCell ref="D29:D30"/>
  </mergeCells>
  <phoneticPr fontId="52" type="noConversion"/>
  <conditionalFormatting sqref="F6:H6">
    <cfRule type="expression" dxfId="13" priority="15">
      <formula>#REF!="PLEASE CORRECT ALL COMPARISON RULES"</formula>
    </cfRule>
  </conditionalFormatting>
  <conditionalFormatting sqref="F29:H29">
    <cfRule type="expression" dxfId="12" priority="1">
      <formula>#REF!="PLEASE CORRECT ALL COMPARISON RULES"</formula>
    </cfRule>
  </conditionalFormatting>
  <pageMargins left="0.7" right="0.7" top="0.75" bottom="0.75" header="0.3" footer="0.3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86A86-80D1-4BCA-B167-764EA525F3C8}">
  <dimension ref="A1:X71"/>
  <sheetViews>
    <sheetView showGridLines="0" topLeftCell="A46" zoomScale="70" zoomScaleNormal="70" workbookViewId="0">
      <selection activeCell="F28" sqref="F28"/>
    </sheetView>
  </sheetViews>
  <sheetFormatPr defaultColWidth="9.109375" defaultRowHeight="15.6"/>
  <cols>
    <col min="1" max="1" width="4.88671875" style="118" customWidth="1"/>
    <col min="2" max="2" width="50.88671875" style="5" customWidth="1"/>
    <col min="3" max="3" width="11.6640625" style="9" customWidth="1"/>
    <col min="4" max="7" width="13.6640625" style="9" customWidth="1"/>
    <col min="8" max="8" width="19.5546875" style="9" customWidth="1"/>
    <col min="9" max="9" width="14.6640625" style="9" customWidth="1"/>
    <col min="10" max="12" width="13.6640625" style="9" customWidth="1"/>
    <col min="13" max="13" width="19.88671875" style="9" customWidth="1"/>
    <col min="14" max="16384" width="9.109375" style="5"/>
  </cols>
  <sheetData>
    <row r="1" spans="1:24" ht="12" customHeight="1"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ht="18.75" customHeight="1">
      <c r="B2" s="171" t="s">
        <v>264</v>
      </c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</row>
    <row r="3" spans="1:24">
      <c r="B3" s="155" t="s">
        <v>149</v>
      </c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</row>
    <row r="4" spans="1:24">
      <c r="B4" s="155" t="s">
        <v>259</v>
      </c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</row>
    <row r="5" spans="1:24" ht="9.75" customHeight="1"/>
    <row r="6" spans="1:24">
      <c r="B6" s="172" t="s">
        <v>0</v>
      </c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</row>
    <row r="7" spans="1:24" ht="27.75" customHeight="1">
      <c r="B7" s="169" t="s">
        <v>147</v>
      </c>
      <c r="C7" s="158"/>
      <c r="D7" s="144" t="s">
        <v>92</v>
      </c>
      <c r="E7" s="144"/>
      <c r="F7" s="144"/>
      <c r="G7" s="144"/>
      <c r="H7" s="144"/>
      <c r="I7" s="170" t="s">
        <v>205</v>
      </c>
      <c r="J7" s="170"/>
      <c r="K7" s="170"/>
      <c r="L7" s="170"/>
      <c r="M7" s="170"/>
    </row>
    <row r="8" spans="1:24">
      <c r="B8" s="169"/>
      <c r="C8" s="158"/>
      <c r="D8" s="1" t="s">
        <v>91</v>
      </c>
      <c r="E8" s="46" t="s">
        <v>1</v>
      </c>
      <c r="F8" s="46" t="s">
        <v>2</v>
      </c>
      <c r="G8" s="46" t="s">
        <v>3</v>
      </c>
      <c r="H8" s="2" t="s">
        <v>354</v>
      </c>
      <c r="I8" s="2" t="s">
        <v>91</v>
      </c>
      <c r="J8" s="46" t="s">
        <v>1</v>
      </c>
      <c r="K8" s="46" t="s">
        <v>2</v>
      </c>
      <c r="L8" s="46" t="s">
        <v>3</v>
      </c>
      <c r="M8" s="2" t="s">
        <v>354</v>
      </c>
    </row>
    <row r="9" spans="1:24">
      <c r="B9" s="156">
        <v>1</v>
      </c>
      <c r="C9" s="157"/>
      <c r="D9" s="46">
        <v>2</v>
      </c>
      <c r="E9" s="46">
        <v>3</v>
      </c>
      <c r="F9" s="46">
        <v>4</v>
      </c>
      <c r="G9" s="46">
        <v>5</v>
      </c>
      <c r="H9" s="46">
        <v>6</v>
      </c>
      <c r="I9" s="46">
        <v>7</v>
      </c>
      <c r="J9" s="46">
        <v>8</v>
      </c>
      <c r="K9" s="46">
        <v>9</v>
      </c>
      <c r="L9" s="46">
        <v>10</v>
      </c>
      <c r="M9" s="46">
        <v>11</v>
      </c>
    </row>
    <row r="10" spans="1:24">
      <c r="A10" s="118" t="s">
        <v>23</v>
      </c>
      <c r="B10" s="3" t="s">
        <v>183</v>
      </c>
      <c r="C10" s="46" t="s">
        <v>54</v>
      </c>
      <c r="D10" s="206">
        <f>D11+D20+D29</f>
        <v>0</v>
      </c>
      <c r="E10" s="206">
        <f t="shared" ref="E10:M10" si="0">E11+E20+E29</f>
        <v>0</v>
      </c>
      <c r="F10" s="206">
        <f t="shared" si="0"/>
        <v>0</v>
      </c>
      <c r="G10" s="206">
        <f>G11+G20+G29</f>
        <v>0</v>
      </c>
      <c r="H10" s="206">
        <f t="shared" si="0"/>
        <v>0</v>
      </c>
      <c r="I10" s="206">
        <f>I11+I20+I29</f>
        <v>0</v>
      </c>
      <c r="J10" s="206">
        <f t="shared" si="0"/>
        <v>0</v>
      </c>
      <c r="K10" s="206">
        <f t="shared" si="0"/>
        <v>0</v>
      </c>
      <c r="L10" s="206">
        <f t="shared" ref="L10" si="1">L11+L20+L29</f>
        <v>0</v>
      </c>
      <c r="M10" s="206">
        <f t="shared" si="0"/>
        <v>0</v>
      </c>
    </row>
    <row r="11" spans="1:24">
      <c r="A11" s="118" t="s">
        <v>39</v>
      </c>
      <c r="B11" s="3" t="s">
        <v>148</v>
      </c>
      <c r="C11" s="46" t="s">
        <v>23</v>
      </c>
      <c r="D11" s="207">
        <f>D12+D13+D14+D17</f>
        <v>0</v>
      </c>
      <c r="E11" s="207">
        <f>E12+E13+E14+E17</f>
        <v>0</v>
      </c>
      <c r="F11" s="207">
        <f t="shared" ref="F11:M11" si="2">F12+F13+F14+F17</f>
        <v>0</v>
      </c>
      <c r="G11" s="207">
        <f t="shared" si="2"/>
        <v>0</v>
      </c>
      <c r="H11" s="207">
        <f>H12+H13+H14+H17</f>
        <v>0</v>
      </c>
      <c r="I11" s="207">
        <f>I12+I13+I14+I17</f>
        <v>0</v>
      </c>
      <c r="J11" s="207">
        <f t="shared" si="2"/>
        <v>0</v>
      </c>
      <c r="K11" s="207">
        <f t="shared" si="2"/>
        <v>0</v>
      </c>
      <c r="L11" s="207">
        <f t="shared" ref="L11" si="3">L12+L13+L14+L17</f>
        <v>0</v>
      </c>
      <c r="M11" s="207">
        <f t="shared" si="2"/>
        <v>0</v>
      </c>
    </row>
    <row r="12" spans="1:24">
      <c r="A12" s="118" t="s">
        <v>52</v>
      </c>
      <c r="B12" s="4" t="s">
        <v>89</v>
      </c>
      <c r="C12" s="43" t="s">
        <v>32</v>
      </c>
      <c r="D12" s="208">
        <f>SUM(E12:H12)</f>
        <v>0</v>
      </c>
      <c r="E12" s="209"/>
      <c r="F12" s="209"/>
      <c r="G12" s="209"/>
      <c r="H12" s="209"/>
      <c r="I12" s="208">
        <f>SUM(J12:M12)</f>
        <v>0</v>
      </c>
      <c r="J12" s="209"/>
      <c r="K12" s="209"/>
      <c r="L12" s="209"/>
      <c r="M12" s="209"/>
    </row>
    <row r="13" spans="1:24" ht="31.2">
      <c r="A13" s="118" t="s">
        <v>53</v>
      </c>
      <c r="B13" s="4" t="s">
        <v>248</v>
      </c>
      <c r="C13" s="43" t="s">
        <v>33</v>
      </c>
      <c r="D13" s="208">
        <f>SUM(E13:H13)</f>
        <v>0</v>
      </c>
      <c r="E13" s="209"/>
      <c r="F13" s="209"/>
      <c r="G13" s="209"/>
      <c r="H13" s="209"/>
      <c r="I13" s="208">
        <f>SUM(J13:M13)</f>
        <v>0</v>
      </c>
      <c r="J13" s="209"/>
      <c r="K13" s="209"/>
      <c r="L13" s="209"/>
      <c r="M13" s="209"/>
    </row>
    <row r="14" spans="1:24">
      <c r="A14" s="118" t="s">
        <v>388</v>
      </c>
      <c r="B14" s="4" t="s">
        <v>185</v>
      </c>
      <c r="C14" s="43" t="s">
        <v>34</v>
      </c>
      <c r="D14" s="208">
        <f>SUM(E14:H14)</f>
        <v>0</v>
      </c>
      <c r="E14" s="208">
        <f>E15+E16</f>
        <v>0</v>
      </c>
      <c r="F14" s="208">
        <f>F15+F16</f>
        <v>0</v>
      </c>
      <c r="G14" s="208">
        <f t="shared" ref="G14:M14" si="4">G15+G16</f>
        <v>0</v>
      </c>
      <c r="H14" s="208">
        <f>H15+H16</f>
        <v>0</v>
      </c>
      <c r="I14" s="208">
        <f t="shared" ref="I14:I28" si="5">SUM(J14:M14)</f>
        <v>0</v>
      </c>
      <c r="J14" s="208">
        <f t="shared" si="4"/>
        <v>0</v>
      </c>
      <c r="K14" s="208">
        <f t="shared" si="4"/>
        <v>0</v>
      </c>
      <c r="L14" s="208">
        <f t="shared" ref="L14" si="6">L15+L16</f>
        <v>0</v>
      </c>
      <c r="M14" s="208">
        <f t="shared" si="4"/>
        <v>0</v>
      </c>
    </row>
    <row r="15" spans="1:24">
      <c r="A15" s="118" t="s">
        <v>398</v>
      </c>
      <c r="B15" s="6" t="s">
        <v>186</v>
      </c>
      <c r="C15" s="43" t="s">
        <v>150</v>
      </c>
      <c r="D15" s="208">
        <f t="shared" ref="D15:D28" si="7">SUM(E15:H15)</f>
        <v>0</v>
      </c>
      <c r="E15" s="209"/>
      <c r="F15" s="209"/>
      <c r="G15" s="209"/>
      <c r="H15" s="209"/>
      <c r="I15" s="208">
        <f>SUM(J15:M15)</f>
        <v>0</v>
      </c>
      <c r="J15" s="209"/>
      <c r="K15" s="209"/>
      <c r="L15" s="209"/>
      <c r="M15" s="209"/>
    </row>
    <row r="16" spans="1:24">
      <c r="A16" s="118" t="s">
        <v>399</v>
      </c>
      <c r="B16" s="6" t="s">
        <v>187</v>
      </c>
      <c r="C16" s="43" t="s">
        <v>151</v>
      </c>
      <c r="D16" s="208">
        <f t="shared" si="7"/>
        <v>0</v>
      </c>
      <c r="E16" s="209"/>
      <c r="F16" s="209"/>
      <c r="G16" s="209"/>
      <c r="H16" s="209"/>
      <c r="I16" s="208">
        <f t="shared" si="5"/>
        <v>0</v>
      </c>
      <c r="J16" s="209"/>
      <c r="K16" s="209"/>
      <c r="L16" s="209"/>
      <c r="M16" s="209"/>
    </row>
    <row r="17" spans="1:13">
      <c r="A17" s="118" t="s">
        <v>400</v>
      </c>
      <c r="B17" s="4" t="s">
        <v>188</v>
      </c>
      <c r="C17" s="43" t="s">
        <v>35</v>
      </c>
      <c r="D17" s="208">
        <f t="shared" si="7"/>
        <v>0</v>
      </c>
      <c r="E17" s="208">
        <f>E18+E19</f>
        <v>0</v>
      </c>
      <c r="F17" s="208">
        <f t="shared" ref="F17:M17" si="8">F18+F19</f>
        <v>0</v>
      </c>
      <c r="G17" s="208">
        <f t="shared" si="8"/>
        <v>0</v>
      </c>
      <c r="H17" s="208">
        <f>H18+H19</f>
        <v>0</v>
      </c>
      <c r="I17" s="208">
        <f t="shared" si="5"/>
        <v>0</v>
      </c>
      <c r="J17" s="208">
        <f t="shared" si="8"/>
        <v>0</v>
      </c>
      <c r="K17" s="208">
        <f t="shared" si="8"/>
        <v>0</v>
      </c>
      <c r="L17" s="208">
        <f t="shared" ref="L17" si="9">L18+L19</f>
        <v>0</v>
      </c>
      <c r="M17" s="208">
        <f t="shared" si="8"/>
        <v>0</v>
      </c>
    </row>
    <row r="18" spans="1:13">
      <c r="A18" s="118" t="s">
        <v>401</v>
      </c>
      <c r="B18" s="6" t="s">
        <v>189</v>
      </c>
      <c r="C18" s="43" t="s">
        <v>152</v>
      </c>
      <c r="D18" s="208">
        <f t="shared" si="7"/>
        <v>0</v>
      </c>
      <c r="E18" s="209"/>
      <c r="F18" s="209"/>
      <c r="G18" s="209"/>
      <c r="H18" s="209"/>
      <c r="I18" s="208">
        <f t="shared" si="5"/>
        <v>0</v>
      </c>
      <c r="J18" s="209"/>
      <c r="K18" s="209"/>
      <c r="L18" s="209"/>
      <c r="M18" s="209"/>
    </row>
    <row r="19" spans="1:13">
      <c r="A19" s="118" t="s">
        <v>402</v>
      </c>
      <c r="B19" s="6" t="s">
        <v>190</v>
      </c>
      <c r="C19" s="43" t="s">
        <v>153</v>
      </c>
      <c r="D19" s="208">
        <f t="shared" si="7"/>
        <v>0</v>
      </c>
      <c r="E19" s="209"/>
      <c r="F19" s="209"/>
      <c r="G19" s="209"/>
      <c r="H19" s="209"/>
      <c r="I19" s="208">
        <f t="shared" si="5"/>
        <v>0</v>
      </c>
      <c r="J19" s="209"/>
      <c r="K19" s="209"/>
      <c r="L19" s="209"/>
      <c r="M19" s="209"/>
    </row>
    <row r="20" spans="1:13" ht="30.75" customHeight="1">
      <c r="A20" s="118" t="s">
        <v>394</v>
      </c>
      <c r="B20" s="3" t="s">
        <v>254</v>
      </c>
      <c r="C20" s="46" t="s">
        <v>39</v>
      </c>
      <c r="D20" s="207">
        <f>SUM(E20:H20)</f>
        <v>0</v>
      </c>
      <c r="E20" s="207">
        <f t="shared" ref="E20" si="10">E21+E22+E23+E26</f>
        <v>0</v>
      </c>
      <c r="F20" s="207">
        <f t="shared" ref="F20" si="11">F21+F22+F23+F26</f>
        <v>0</v>
      </c>
      <c r="G20" s="207">
        <f t="shared" ref="G20" si="12">G21+G22+G23+G26</f>
        <v>0</v>
      </c>
      <c r="H20" s="207">
        <f>H21+H22+H23+H26</f>
        <v>0</v>
      </c>
      <c r="I20" s="207">
        <f t="shared" si="5"/>
        <v>0</v>
      </c>
      <c r="J20" s="207">
        <f t="shared" ref="J20" si="13">J21+J22+J23+J26</f>
        <v>0</v>
      </c>
      <c r="K20" s="207">
        <f t="shared" ref="K20:L20" si="14">K21+K22+K23+K26</f>
        <v>0</v>
      </c>
      <c r="L20" s="207">
        <f t="shared" si="14"/>
        <v>0</v>
      </c>
      <c r="M20" s="207">
        <f t="shared" ref="M20" si="15">M21+M22+M23+M26</f>
        <v>0</v>
      </c>
    </row>
    <row r="21" spans="1:13">
      <c r="A21" s="118" t="s">
        <v>403</v>
      </c>
      <c r="B21" s="4" t="s">
        <v>89</v>
      </c>
      <c r="C21" s="43" t="s">
        <v>40</v>
      </c>
      <c r="D21" s="208">
        <f t="shared" si="7"/>
        <v>0</v>
      </c>
      <c r="E21" s="209"/>
      <c r="F21" s="209"/>
      <c r="G21" s="209"/>
      <c r="H21" s="209"/>
      <c r="I21" s="208">
        <f t="shared" si="5"/>
        <v>0</v>
      </c>
      <c r="J21" s="209"/>
      <c r="K21" s="209"/>
      <c r="L21" s="209"/>
      <c r="M21" s="209"/>
    </row>
    <row r="22" spans="1:13" ht="31.2">
      <c r="A22" s="118" t="s">
        <v>404</v>
      </c>
      <c r="B22" s="4" t="s">
        <v>248</v>
      </c>
      <c r="C22" s="43" t="s">
        <v>41</v>
      </c>
      <c r="D22" s="208">
        <f t="shared" si="7"/>
        <v>0</v>
      </c>
      <c r="E22" s="209"/>
      <c r="F22" s="209"/>
      <c r="G22" s="209"/>
      <c r="H22" s="209"/>
      <c r="I22" s="208">
        <f>SUM(J22:M22)</f>
        <v>0</v>
      </c>
      <c r="J22" s="209"/>
      <c r="K22" s="209"/>
      <c r="L22" s="209"/>
      <c r="M22" s="209"/>
    </row>
    <row r="23" spans="1:13">
      <c r="A23" s="118" t="s">
        <v>405</v>
      </c>
      <c r="B23" s="4" t="s">
        <v>256</v>
      </c>
      <c r="C23" s="43" t="s">
        <v>42</v>
      </c>
      <c r="D23" s="208">
        <f t="shared" si="7"/>
        <v>0</v>
      </c>
      <c r="E23" s="208">
        <f>E24+E25</f>
        <v>0</v>
      </c>
      <c r="F23" s="208">
        <f t="shared" ref="F23" si="16">F24+F25</f>
        <v>0</v>
      </c>
      <c r="G23" s="208">
        <f t="shared" ref="G23" si="17">G24+G25</f>
        <v>0</v>
      </c>
      <c r="H23" s="208">
        <f t="shared" ref="H23" si="18">H24+H25</f>
        <v>0</v>
      </c>
      <c r="I23" s="208">
        <f t="shared" si="5"/>
        <v>0</v>
      </c>
      <c r="J23" s="208">
        <f t="shared" ref="J23" si="19">J24+J25</f>
        <v>0</v>
      </c>
      <c r="K23" s="208">
        <f t="shared" ref="K23:L23" si="20">K24+K25</f>
        <v>0</v>
      </c>
      <c r="L23" s="208">
        <f t="shared" si="20"/>
        <v>0</v>
      </c>
      <c r="M23" s="208">
        <f t="shared" ref="M23" si="21">M24+M25</f>
        <v>0</v>
      </c>
    </row>
    <row r="24" spans="1:13">
      <c r="A24" s="118" t="s">
        <v>406</v>
      </c>
      <c r="B24" s="6" t="s">
        <v>186</v>
      </c>
      <c r="C24" s="43" t="s">
        <v>154</v>
      </c>
      <c r="D24" s="208">
        <f t="shared" si="7"/>
        <v>0</v>
      </c>
      <c r="E24" s="209"/>
      <c r="F24" s="209"/>
      <c r="G24" s="209"/>
      <c r="H24" s="209"/>
      <c r="I24" s="208">
        <f t="shared" si="5"/>
        <v>0</v>
      </c>
      <c r="J24" s="209"/>
      <c r="K24" s="209"/>
      <c r="L24" s="209"/>
      <c r="M24" s="209"/>
    </row>
    <row r="25" spans="1:13">
      <c r="A25" s="118" t="s">
        <v>407</v>
      </c>
      <c r="B25" s="6" t="s">
        <v>187</v>
      </c>
      <c r="C25" s="43" t="s">
        <v>155</v>
      </c>
      <c r="D25" s="208">
        <f t="shared" si="7"/>
        <v>0</v>
      </c>
      <c r="E25" s="209"/>
      <c r="F25" s="209"/>
      <c r="G25" s="209"/>
      <c r="H25" s="209"/>
      <c r="I25" s="208">
        <f t="shared" si="5"/>
        <v>0</v>
      </c>
      <c r="J25" s="209"/>
      <c r="K25" s="209"/>
      <c r="L25" s="209"/>
      <c r="M25" s="209"/>
    </row>
    <row r="26" spans="1:13">
      <c r="A26" s="118" t="s">
        <v>408</v>
      </c>
      <c r="B26" s="4" t="s">
        <v>188</v>
      </c>
      <c r="C26" s="43" t="s">
        <v>43</v>
      </c>
      <c r="D26" s="208">
        <f t="shared" si="7"/>
        <v>0</v>
      </c>
      <c r="E26" s="208">
        <f t="shared" ref="E26" si="22">E27+E28</f>
        <v>0</v>
      </c>
      <c r="F26" s="208">
        <f t="shared" ref="F26" si="23">F27+F28</f>
        <v>0</v>
      </c>
      <c r="G26" s="208">
        <f t="shared" ref="G26" si="24">G27+G28</f>
        <v>0</v>
      </c>
      <c r="H26" s="208">
        <f t="shared" ref="H26" si="25">H27+H28</f>
        <v>0</v>
      </c>
      <c r="I26" s="208">
        <f t="shared" si="5"/>
        <v>0</v>
      </c>
      <c r="J26" s="208">
        <f t="shared" ref="J26" si="26">J27+J28</f>
        <v>0</v>
      </c>
      <c r="K26" s="208">
        <f t="shared" ref="K26:L26" si="27">K27+K28</f>
        <v>0</v>
      </c>
      <c r="L26" s="208">
        <f t="shared" si="27"/>
        <v>0</v>
      </c>
      <c r="M26" s="208">
        <f t="shared" ref="M26" si="28">M27+M28</f>
        <v>0</v>
      </c>
    </row>
    <row r="27" spans="1:13">
      <c r="A27" s="118" t="s">
        <v>470</v>
      </c>
      <c r="B27" s="6" t="s">
        <v>189</v>
      </c>
      <c r="C27" s="43" t="s">
        <v>156</v>
      </c>
      <c r="D27" s="208">
        <f t="shared" si="7"/>
        <v>0</v>
      </c>
      <c r="E27" s="209"/>
      <c r="F27" s="209"/>
      <c r="G27" s="209"/>
      <c r="H27" s="209"/>
      <c r="I27" s="208">
        <f t="shared" si="5"/>
        <v>0</v>
      </c>
      <c r="J27" s="209"/>
      <c r="K27" s="209"/>
      <c r="L27" s="209"/>
      <c r="M27" s="209"/>
    </row>
    <row r="28" spans="1:13">
      <c r="A28" s="118" t="s">
        <v>471</v>
      </c>
      <c r="B28" s="6" t="s">
        <v>190</v>
      </c>
      <c r="C28" s="43" t="s">
        <v>157</v>
      </c>
      <c r="D28" s="208">
        <f t="shared" si="7"/>
        <v>0</v>
      </c>
      <c r="E28" s="209"/>
      <c r="F28" s="209"/>
      <c r="G28" s="209"/>
      <c r="H28" s="209"/>
      <c r="I28" s="208">
        <f t="shared" si="5"/>
        <v>0</v>
      </c>
      <c r="J28" s="209"/>
      <c r="K28" s="209"/>
      <c r="L28" s="209"/>
      <c r="M28" s="209"/>
    </row>
    <row r="29" spans="1:13" ht="32.25" customHeight="1">
      <c r="A29" s="118" t="s">
        <v>472</v>
      </c>
      <c r="B29" s="3" t="s">
        <v>255</v>
      </c>
      <c r="C29" s="46" t="s">
        <v>52</v>
      </c>
      <c r="D29" s="207">
        <f>SUM(D30:D32,D35)</f>
        <v>0</v>
      </c>
      <c r="E29" s="207"/>
      <c r="F29" s="207"/>
      <c r="G29" s="207"/>
      <c r="H29" s="207"/>
      <c r="I29" s="207"/>
      <c r="J29" s="207"/>
      <c r="K29" s="207"/>
      <c r="L29" s="207"/>
      <c r="M29" s="207"/>
    </row>
    <row r="30" spans="1:13">
      <c r="A30" s="118" t="s">
        <v>395</v>
      </c>
      <c r="B30" s="4" t="s">
        <v>89</v>
      </c>
      <c r="C30" s="43" t="s">
        <v>158</v>
      </c>
      <c r="D30" s="209"/>
      <c r="E30" s="208"/>
      <c r="F30" s="208"/>
      <c r="G30" s="208"/>
      <c r="H30" s="208"/>
      <c r="I30" s="208"/>
      <c r="J30" s="208"/>
      <c r="K30" s="208"/>
      <c r="L30" s="208"/>
      <c r="M30" s="208"/>
    </row>
    <row r="31" spans="1:13" ht="31.2">
      <c r="A31" s="118" t="s">
        <v>473</v>
      </c>
      <c r="B31" s="4" t="s">
        <v>248</v>
      </c>
      <c r="C31" s="43" t="s">
        <v>159</v>
      </c>
      <c r="D31" s="209"/>
      <c r="E31" s="208"/>
      <c r="F31" s="208"/>
      <c r="G31" s="208"/>
      <c r="H31" s="208"/>
      <c r="I31" s="208"/>
      <c r="J31" s="208"/>
      <c r="K31" s="208"/>
      <c r="L31" s="208"/>
      <c r="M31" s="208"/>
    </row>
    <row r="32" spans="1:13">
      <c r="A32" s="118" t="s">
        <v>474</v>
      </c>
      <c r="B32" s="4" t="s">
        <v>256</v>
      </c>
      <c r="C32" s="43" t="s">
        <v>160</v>
      </c>
      <c r="D32" s="208">
        <f>D33+D34</f>
        <v>0</v>
      </c>
      <c r="E32" s="208"/>
      <c r="F32" s="208"/>
      <c r="G32" s="208"/>
      <c r="H32" s="208"/>
      <c r="I32" s="208"/>
      <c r="J32" s="208"/>
      <c r="K32" s="208"/>
      <c r="L32" s="208"/>
      <c r="M32" s="208"/>
    </row>
    <row r="33" spans="1:13">
      <c r="A33" s="118" t="s">
        <v>475</v>
      </c>
      <c r="B33" s="6" t="s">
        <v>186</v>
      </c>
      <c r="C33" s="43" t="s">
        <v>161</v>
      </c>
      <c r="D33" s="209"/>
      <c r="E33" s="208"/>
      <c r="F33" s="208"/>
      <c r="G33" s="208"/>
      <c r="H33" s="208"/>
      <c r="I33" s="208"/>
      <c r="J33" s="208"/>
      <c r="K33" s="208"/>
      <c r="L33" s="208"/>
      <c r="M33" s="208"/>
    </row>
    <row r="34" spans="1:13">
      <c r="A34" s="118" t="s">
        <v>476</v>
      </c>
      <c r="B34" s="6" t="s">
        <v>187</v>
      </c>
      <c r="C34" s="43" t="s">
        <v>162</v>
      </c>
      <c r="D34" s="209"/>
      <c r="E34" s="208"/>
      <c r="F34" s="208"/>
      <c r="G34" s="208"/>
      <c r="H34" s="208"/>
      <c r="I34" s="208"/>
      <c r="J34" s="208"/>
      <c r="K34" s="208"/>
      <c r="L34" s="208"/>
      <c r="M34" s="208"/>
    </row>
    <row r="35" spans="1:13">
      <c r="A35" s="118" t="s">
        <v>477</v>
      </c>
      <c r="B35" s="4" t="s">
        <v>188</v>
      </c>
      <c r="C35" s="43" t="s">
        <v>163</v>
      </c>
      <c r="D35" s="208">
        <f>D36+D37</f>
        <v>0</v>
      </c>
      <c r="E35" s="208"/>
      <c r="F35" s="208"/>
      <c r="G35" s="208"/>
      <c r="H35" s="208"/>
      <c r="I35" s="208"/>
      <c r="J35" s="208"/>
      <c r="K35" s="208"/>
      <c r="L35" s="208"/>
      <c r="M35" s="208"/>
    </row>
    <row r="36" spans="1:13">
      <c r="A36" s="118" t="s">
        <v>478</v>
      </c>
      <c r="B36" s="6" t="s">
        <v>189</v>
      </c>
      <c r="C36" s="43" t="s">
        <v>164</v>
      </c>
      <c r="D36" s="209"/>
      <c r="E36" s="208"/>
      <c r="F36" s="208"/>
      <c r="G36" s="208"/>
      <c r="H36" s="208"/>
      <c r="I36" s="208"/>
      <c r="J36" s="208"/>
      <c r="K36" s="208"/>
      <c r="L36" s="208"/>
      <c r="M36" s="208"/>
    </row>
    <row r="37" spans="1:13">
      <c r="A37" s="118" t="s">
        <v>479</v>
      </c>
      <c r="B37" s="6" t="s">
        <v>190</v>
      </c>
      <c r="C37" s="43" t="s">
        <v>165</v>
      </c>
      <c r="D37" s="209"/>
      <c r="E37" s="208"/>
      <c r="F37" s="208"/>
      <c r="G37" s="208"/>
      <c r="H37" s="208"/>
      <c r="I37" s="208"/>
      <c r="J37" s="208"/>
      <c r="K37" s="208"/>
      <c r="L37" s="208"/>
      <c r="M37" s="208"/>
    </row>
    <row r="38" spans="1:13">
      <c r="B38" s="155" t="s">
        <v>166</v>
      </c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</row>
    <row r="39" spans="1:13">
      <c r="B39" s="155" t="s">
        <v>262</v>
      </c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</row>
    <row r="40" spans="1:13" ht="9" customHeight="1"/>
    <row r="41" spans="1:13" ht="25.95" customHeight="1">
      <c r="B41" s="169" t="s">
        <v>147</v>
      </c>
      <c r="C41" s="158"/>
      <c r="D41" s="144" t="s">
        <v>92</v>
      </c>
      <c r="E41" s="144"/>
      <c r="F41" s="144"/>
      <c r="G41" s="144"/>
      <c r="H41" s="144"/>
      <c r="I41" s="170" t="s">
        <v>205</v>
      </c>
      <c r="J41" s="170"/>
      <c r="K41" s="170"/>
      <c r="L41" s="170"/>
      <c r="M41" s="170"/>
    </row>
    <row r="42" spans="1:13" ht="61.5" customHeight="1">
      <c r="B42" s="169"/>
      <c r="C42" s="158"/>
      <c r="D42" s="1" t="s">
        <v>91</v>
      </c>
      <c r="E42" s="46" t="s">
        <v>1</v>
      </c>
      <c r="F42" s="46" t="s">
        <v>2</v>
      </c>
      <c r="G42" s="46" t="s">
        <v>3</v>
      </c>
      <c r="H42" s="2" t="s">
        <v>354</v>
      </c>
      <c r="I42" s="2" t="s">
        <v>91</v>
      </c>
      <c r="J42" s="46" t="s">
        <v>1</v>
      </c>
      <c r="K42" s="46" t="s">
        <v>2</v>
      </c>
      <c r="L42" s="46" t="s">
        <v>3</v>
      </c>
      <c r="M42" s="2" t="s">
        <v>354</v>
      </c>
    </row>
    <row r="43" spans="1:13">
      <c r="B43" s="156">
        <v>1</v>
      </c>
      <c r="C43" s="157"/>
      <c r="D43" s="46">
        <v>2</v>
      </c>
      <c r="E43" s="46">
        <v>3</v>
      </c>
      <c r="F43" s="46">
        <v>4</v>
      </c>
      <c r="G43" s="46">
        <v>5</v>
      </c>
      <c r="H43" s="46">
        <v>6</v>
      </c>
      <c r="I43" s="46">
        <v>7</v>
      </c>
      <c r="J43" s="46">
        <v>8</v>
      </c>
      <c r="K43" s="46">
        <v>9</v>
      </c>
      <c r="L43" s="46">
        <v>10</v>
      </c>
      <c r="M43" s="46">
        <v>11</v>
      </c>
    </row>
    <row r="44" spans="1:13">
      <c r="A44" s="118" t="s">
        <v>55</v>
      </c>
      <c r="B44" s="3" t="s">
        <v>183</v>
      </c>
      <c r="C44" s="46" t="s">
        <v>71</v>
      </c>
      <c r="D44" s="206">
        <f>D45+D54+D63</f>
        <v>0</v>
      </c>
      <c r="E44" s="206">
        <f t="shared" ref="E44" si="29">E45+E54+E63</f>
        <v>0</v>
      </c>
      <c r="F44" s="206">
        <f t="shared" ref="F44" si="30">F45+F54+F63</f>
        <v>0</v>
      </c>
      <c r="G44" s="206">
        <f t="shared" ref="G44" si="31">G45+G54+G63</f>
        <v>0</v>
      </c>
      <c r="H44" s="206">
        <f t="shared" ref="H44" si="32">H45+H54+H63</f>
        <v>0</v>
      </c>
      <c r="I44" s="206">
        <f>I45+I54+I63</f>
        <v>0</v>
      </c>
      <c r="J44" s="206">
        <f t="shared" ref="J44" si="33">J45+J54+J63</f>
        <v>0</v>
      </c>
      <c r="K44" s="206">
        <f t="shared" ref="K44:L44" si="34">K45+K54+K63</f>
        <v>0</v>
      </c>
      <c r="L44" s="206">
        <f t="shared" si="34"/>
        <v>0</v>
      </c>
      <c r="M44" s="206">
        <f t="shared" ref="M44" si="35">M45+M54+M63</f>
        <v>0</v>
      </c>
    </row>
    <row r="45" spans="1:13">
      <c r="A45" s="118" t="s">
        <v>63</v>
      </c>
      <c r="B45" s="3" t="s">
        <v>148</v>
      </c>
      <c r="C45" s="46" t="s">
        <v>55</v>
      </c>
      <c r="D45" s="207">
        <f t="shared" ref="D45" si="36">D46+D47+D48+D51</f>
        <v>0</v>
      </c>
      <c r="E45" s="207">
        <f>E46+E47+E48+E51</f>
        <v>0</v>
      </c>
      <c r="F45" s="207">
        <f t="shared" ref="F45" si="37">F46+F47+F48+F51</f>
        <v>0</v>
      </c>
      <c r="G45" s="207">
        <f t="shared" ref="G45" si="38">G46+G47+G48+G51</f>
        <v>0</v>
      </c>
      <c r="H45" s="207">
        <f t="shared" ref="H45:I45" si="39">H46+H47+H48+H51</f>
        <v>0</v>
      </c>
      <c r="I45" s="207">
        <f t="shared" si="39"/>
        <v>0</v>
      </c>
      <c r="J45" s="207">
        <f t="shared" ref="J45" si="40">J46+J47+J48+J51</f>
        <v>0</v>
      </c>
      <c r="K45" s="207">
        <f t="shared" ref="K45:L45" si="41">K46+K47+K48+K51</f>
        <v>0</v>
      </c>
      <c r="L45" s="207">
        <f t="shared" si="41"/>
        <v>0</v>
      </c>
      <c r="M45" s="207">
        <f t="shared" ref="M45" si="42">M46+M47+M48+M51</f>
        <v>0</v>
      </c>
    </row>
    <row r="46" spans="1:13">
      <c r="A46" s="118" t="s">
        <v>69</v>
      </c>
      <c r="B46" s="4" t="s">
        <v>89</v>
      </c>
      <c r="C46" s="43" t="s">
        <v>56</v>
      </c>
      <c r="D46" s="208">
        <f>SUM(E46:H46)</f>
        <v>0</v>
      </c>
      <c r="E46" s="209"/>
      <c r="F46" s="209"/>
      <c r="G46" s="209"/>
      <c r="H46" s="209"/>
      <c r="I46" s="208">
        <f>SUM(J46:M46)</f>
        <v>0</v>
      </c>
      <c r="J46" s="209"/>
      <c r="K46" s="209"/>
      <c r="L46" s="209"/>
      <c r="M46" s="209"/>
    </row>
    <row r="47" spans="1:13" ht="31.2">
      <c r="A47" s="118" t="s">
        <v>70</v>
      </c>
      <c r="B47" s="4" t="s">
        <v>248</v>
      </c>
      <c r="C47" s="43" t="s">
        <v>57</v>
      </c>
      <c r="D47" s="208">
        <f>SUM(E47:H47)</f>
        <v>0</v>
      </c>
      <c r="E47" s="209"/>
      <c r="F47" s="209"/>
      <c r="G47" s="209"/>
      <c r="H47" s="209"/>
      <c r="I47" s="208">
        <f>SUM(J47:M47)</f>
        <v>0</v>
      </c>
      <c r="J47" s="209"/>
      <c r="K47" s="209"/>
      <c r="L47" s="209"/>
      <c r="M47" s="209"/>
    </row>
    <row r="48" spans="1:13">
      <c r="A48" s="118" t="s">
        <v>389</v>
      </c>
      <c r="B48" s="4" t="s">
        <v>185</v>
      </c>
      <c r="C48" s="43" t="s">
        <v>58</v>
      </c>
      <c r="D48" s="208">
        <f t="shared" ref="D48:D62" si="43">SUM(E48:H48)</f>
        <v>0</v>
      </c>
      <c r="E48" s="208">
        <f>E49+E50</f>
        <v>0</v>
      </c>
      <c r="F48" s="208">
        <f t="shared" ref="F48" si="44">F49+F50</f>
        <v>0</v>
      </c>
      <c r="G48" s="208">
        <f t="shared" ref="G48" si="45">G49+G50</f>
        <v>0</v>
      </c>
      <c r="H48" s="208">
        <f t="shared" ref="H48" si="46">H49+H50</f>
        <v>0</v>
      </c>
      <c r="I48" s="208">
        <f t="shared" ref="I48:I62" si="47">SUM(J48:M48)</f>
        <v>0</v>
      </c>
      <c r="J48" s="208">
        <f t="shared" ref="J48" si="48">J49+J50</f>
        <v>0</v>
      </c>
      <c r="K48" s="208">
        <f t="shared" ref="K48:L48" si="49">K49+K50</f>
        <v>0</v>
      </c>
      <c r="L48" s="208">
        <f t="shared" si="49"/>
        <v>0</v>
      </c>
      <c r="M48" s="208">
        <f t="shared" ref="M48" si="50">M49+M50</f>
        <v>0</v>
      </c>
    </row>
    <row r="49" spans="1:13">
      <c r="A49" s="118" t="s">
        <v>390</v>
      </c>
      <c r="B49" s="6" t="s">
        <v>186</v>
      </c>
      <c r="C49" s="43" t="s">
        <v>167</v>
      </c>
      <c r="D49" s="208">
        <f t="shared" si="43"/>
        <v>0</v>
      </c>
      <c r="E49" s="209"/>
      <c r="F49" s="209"/>
      <c r="G49" s="209"/>
      <c r="H49" s="209"/>
      <c r="I49" s="208">
        <f t="shared" si="47"/>
        <v>0</v>
      </c>
      <c r="J49" s="209"/>
      <c r="K49" s="209"/>
      <c r="L49" s="209"/>
      <c r="M49" s="209"/>
    </row>
    <row r="50" spans="1:13">
      <c r="A50" s="118" t="s">
        <v>391</v>
      </c>
      <c r="B50" s="6" t="s">
        <v>187</v>
      </c>
      <c r="C50" s="43" t="s">
        <v>168</v>
      </c>
      <c r="D50" s="208">
        <f t="shared" si="43"/>
        <v>0</v>
      </c>
      <c r="E50" s="209"/>
      <c r="F50" s="209"/>
      <c r="G50" s="209"/>
      <c r="H50" s="209"/>
      <c r="I50" s="208">
        <f t="shared" si="47"/>
        <v>0</v>
      </c>
      <c r="J50" s="209"/>
      <c r="K50" s="209"/>
      <c r="L50" s="209"/>
      <c r="M50" s="209"/>
    </row>
    <row r="51" spans="1:13">
      <c r="A51" s="118" t="s">
        <v>392</v>
      </c>
      <c r="B51" s="4" t="s">
        <v>188</v>
      </c>
      <c r="C51" s="43" t="s">
        <v>59</v>
      </c>
      <c r="D51" s="208">
        <f t="shared" si="43"/>
        <v>0</v>
      </c>
      <c r="E51" s="208">
        <f>E52+E53</f>
        <v>0</v>
      </c>
      <c r="F51" s="208">
        <f t="shared" ref="F51" si="51">F52+F53</f>
        <v>0</v>
      </c>
      <c r="G51" s="208">
        <f t="shared" ref="G51" si="52">G52+G53</f>
        <v>0</v>
      </c>
      <c r="H51" s="208">
        <f t="shared" ref="H51" si="53">H52+H53</f>
        <v>0</v>
      </c>
      <c r="I51" s="208">
        <f t="shared" si="47"/>
        <v>0</v>
      </c>
      <c r="J51" s="208">
        <f t="shared" ref="J51" si="54">J52+J53</f>
        <v>0</v>
      </c>
      <c r="K51" s="208">
        <f t="shared" ref="K51:L51" si="55">K52+K53</f>
        <v>0</v>
      </c>
      <c r="L51" s="208">
        <f t="shared" si="55"/>
        <v>0</v>
      </c>
      <c r="M51" s="208">
        <f t="shared" ref="M51" si="56">M52+M53</f>
        <v>0</v>
      </c>
    </row>
    <row r="52" spans="1:13">
      <c r="A52" s="118" t="s">
        <v>393</v>
      </c>
      <c r="B52" s="6" t="s">
        <v>189</v>
      </c>
      <c r="C52" s="43" t="s">
        <v>169</v>
      </c>
      <c r="D52" s="208">
        <f>SUM(E52:H52)</f>
        <v>0</v>
      </c>
      <c r="E52" s="209"/>
      <c r="F52" s="209"/>
      <c r="G52" s="209"/>
      <c r="H52" s="209"/>
      <c r="I52" s="208">
        <f t="shared" si="47"/>
        <v>0</v>
      </c>
      <c r="J52" s="209"/>
      <c r="K52" s="209"/>
      <c r="L52" s="209"/>
      <c r="M52" s="209"/>
    </row>
    <row r="53" spans="1:13">
      <c r="A53" s="118" t="s">
        <v>411</v>
      </c>
      <c r="B53" s="6" t="s">
        <v>190</v>
      </c>
      <c r="C53" s="43" t="s">
        <v>170</v>
      </c>
      <c r="D53" s="208">
        <f t="shared" si="43"/>
        <v>0</v>
      </c>
      <c r="E53" s="209"/>
      <c r="F53" s="209"/>
      <c r="G53" s="209"/>
      <c r="H53" s="209"/>
      <c r="I53" s="208">
        <f t="shared" si="47"/>
        <v>0</v>
      </c>
      <c r="J53" s="209"/>
      <c r="K53" s="209"/>
      <c r="L53" s="209"/>
      <c r="M53" s="209"/>
    </row>
    <row r="54" spans="1:13" ht="30" customHeight="1">
      <c r="A54" s="118" t="s">
        <v>409</v>
      </c>
      <c r="B54" s="3" t="s">
        <v>254</v>
      </c>
      <c r="C54" s="46" t="s">
        <v>63</v>
      </c>
      <c r="D54" s="207">
        <f t="shared" si="43"/>
        <v>0</v>
      </c>
      <c r="E54" s="207">
        <f>E55+E56+E57+E60</f>
        <v>0</v>
      </c>
      <c r="F54" s="207">
        <f t="shared" ref="F54" si="57">F55+F56+F57+F60</f>
        <v>0</v>
      </c>
      <c r="G54" s="207">
        <f t="shared" ref="G54" si="58">G55+G56+G57+G60</f>
        <v>0</v>
      </c>
      <c r="H54" s="207">
        <f t="shared" ref="H54" si="59">H55+H56+H57+H60</f>
        <v>0</v>
      </c>
      <c r="I54" s="207">
        <f t="shared" si="47"/>
        <v>0</v>
      </c>
      <c r="J54" s="207">
        <f t="shared" ref="J54" si="60">J55+J56+J57+J60</f>
        <v>0</v>
      </c>
      <c r="K54" s="207">
        <f t="shared" ref="K54:L54" si="61">K55+K56+K57+K60</f>
        <v>0</v>
      </c>
      <c r="L54" s="207">
        <f t="shared" si="61"/>
        <v>0</v>
      </c>
      <c r="M54" s="207">
        <f t="shared" ref="M54" si="62">M55+M56+M57+M60</f>
        <v>0</v>
      </c>
    </row>
    <row r="55" spans="1:13">
      <c r="A55" s="118" t="s">
        <v>412</v>
      </c>
      <c r="B55" s="4" t="s">
        <v>89</v>
      </c>
      <c r="C55" s="43" t="s">
        <v>64</v>
      </c>
      <c r="D55" s="208">
        <f t="shared" si="43"/>
        <v>0</v>
      </c>
      <c r="E55" s="209"/>
      <c r="F55" s="209"/>
      <c r="G55" s="209"/>
      <c r="H55" s="209"/>
      <c r="I55" s="208">
        <f t="shared" si="47"/>
        <v>0</v>
      </c>
      <c r="J55" s="209"/>
      <c r="K55" s="209"/>
      <c r="L55" s="209"/>
      <c r="M55" s="209"/>
    </row>
    <row r="56" spans="1:13" ht="31.2">
      <c r="A56" s="118" t="s">
        <v>413</v>
      </c>
      <c r="B56" s="4" t="s">
        <v>248</v>
      </c>
      <c r="C56" s="43" t="s">
        <v>65</v>
      </c>
      <c r="D56" s="208">
        <f t="shared" si="43"/>
        <v>0</v>
      </c>
      <c r="E56" s="209"/>
      <c r="F56" s="209"/>
      <c r="G56" s="209"/>
      <c r="H56" s="209"/>
      <c r="I56" s="208">
        <f t="shared" si="47"/>
        <v>0</v>
      </c>
      <c r="J56" s="209"/>
      <c r="K56" s="209"/>
      <c r="L56" s="209"/>
      <c r="M56" s="209"/>
    </row>
    <row r="57" spans="1:13">
      <c r="A57" s="118" t="s">
        <v>414</v>
      </c>
      <c r="B57" s="4" t="s">
        <v>256</v>
      </c>
      <c r="C57" s="43" t="s">
        <v>66</v>
      </c>
      <c r="D57" s="208">
        <f t="shared" si="43"/>
        <v>0</v>
      </c>
      <c r="E57" s="208">
        <f t="shared" ref="E57" si="63">E58+E59</f>
        <v>0</v>
      </c>
      <c r="F57" s="208">
        <f t="shared" ref="F57" si="64">F58+F59</f>
        <v>0</v>
      </c>
      <c r="G57" s="208">
        <f t="shared" ref="G57" si="65">G58+G59</f>
        <v>0</v>
      </c>
      <c r="H57" s="208">
        <f t="shared" ref="H57" si="66">H58+H59</f>
        <v>0</v>
      </c>
      <c r="I57" s="208">
        <f t="shared" si="47"/>
        <v>0</v>
      </c>
      <c r="J57" s="208">
        <f t="shared" ref="J57" si="67">J58+J59</f>
        <v>0</v>
      </c>
      <c r="K57" s="208">
        <f t="shared" ref="K57:L57" si="68">K58+K59</f>
        <v>0</v>
      </c>
      <c r="L57" s="208">
        <f t="shared" si="68"/>
        <v>0</v>
      </c>
      <c r="M57" s="208">
        <f t="shared" ref="M57" si="69">M58+M59</f>
        <v>0</v>
      </c>
    </row>
    <row r="58" spans="1:13">
      <c r="A58" s="118" t="s">
        <v>415</v>
      </c>
      <c r="B58" s="6" t="s">
        <v>186</v>
      </c>
      <c r="C58" s="43" t="s">
        <v>171</v>
      </c>
      <c r="D58" s="208">
        <f t="shared" si="43"/>
        <v>0</v>
      </c>
      <c r="E58" s="209"/>
      <c r="F58" s="209"/>
      <c r="G58" s="209"/>
      <c r="H58" s="209"/>
      <c r="I58" s="208">
        <f t="shared" si="47"/>
        <v>0</v>
      </c>
      <c r="J58" s="209"/>
      <c r="K58" s="209"/>
      <c r="L58" s="209"/>
      <c r="M58" s="209"/>
    </row>
    <row r="59" spans="1:13">
      <c r="A59" s="118" t="s">
        <v>416</v>
      </c>
      <c r="B59" s="6" t="s">
        <v>187</v>
      </c>
      <c r="C59" s="43" t="s">
        <v>172</v>
      </c>
      <c r="D59" s="208">
        <f t="shared" si="43"/>
        <v>0</v>
      </c>
      <c r="E59" s="209"/>
      <c r="F59" s="209"/>
      <c r="G59" s="209"/>
      <c r="H59" s="209"/>
      <c r="I59" s="208">
        <f t="shared" si="47"/>
        <v>0</v>
      </c>
      <c r="J59" s="209"/>
      <c r="K59" s="209"/>
      <c r="L59" s="209"/>
      <c r="M59" s="209"/>
    </row>
    <row r="60" spans="1:13">
      <c r="A60" s="118" t="s">
        <v>417</v>
      </c>
      <c r="B60" s="4" t="s">
        <v>188</v>
      </c>
      <c r="C60" s="43" t="s">
        <v>67</v>
      </c>
      <c r="D60" s="208">
        <f t="shared" si="43"/>
        <v>0</v>
      </c>
      <c r="E60" s="208">
        <f t="shared" ref="E60" si="70">E61+E62</f>
        <v>0</v>
      </c>
      <c r="F60" s="208">
        <f t="shared" ref="F60" si="71">F61+F62</f>
        <v>0</v>
      </c>
      <c r="G60" s="208">
        <f t="shared" ref="G60" si="72">G61+G62</f>
        <v>0</v>
      </c>
      <c r="H60" s="208">
        <f t="shared" ref="H60" si="73">H61+H62</f>
        <v>0</v>
      </c>
      <c r="I60" s="208">
        <f t="shared" si="47"/>
        <v>0</v>
      </c>
      <c r="J60" s="208">
        <f t="shared" ref="J60" si="74">J61+J62</f>
        <v>0</v>
      </c>
      <c r="K60" s="208">
        <f t="shared" ref="K60:L60" si="75">K61+K62</f>
        <v>0</v>
      </c>
      <c r="L60" s="208">
        <f t="shared" si="75"/>
        <v>0</v>
      </c>
      <c r="M60" s="208">
        <f t="shared" ref="M60" si="76">M61+M62</f>
        <v>0</v>
      </c>
    </row>
    <row r="61" spans="1:13">
      <c r="A61" s="118" t="s">
        <v>491</v>
      </c>
      <c r="B61" s="6" t="s">
        <v>189</v>
      </c>
      <c r="C61" s="43" t="s">
        <v>173</v>
      </c>
      <c r="D61" s="208">
        <f t="shared" si="43"/>
        <v>0</v>
      </c>
      <c r="E61" s="209"/>
      <c r="F61" s="209"/>
      <c r="G61" s="209"/>
      <c r="H61" s="209"/>
      <c r="I61" s="208">
        <f t="shared" si="47"/>
        <v>0</v>
      </c>
      <c r="J61" s="209"/>
      <c r="K61" s="209"/>
      <c r="L61" s="209"/>
      <c r="M61" s="209"/>
    </row>
    <row r="62" spans="1:13">
      <c r="A62" s="118" t="s">
        <v>492</v>
      </c>
      <c r="B62" s="6" t="s">
        <v>190</v>
      </c>
      <c r="C62" s="43" t="s">
        <v>174</v>
      </c>
      <c r="D62" s="208">
        <f t="shared" si="43"/>
        <v>0</v>
      </c>
      <c r="E62" s="209"/>
      <c r="F62" s="209"/>
      <c r="G62" s="209"/>
      <c r="H62" s="209"/>
      <c r="I62" s="208">
        <f t="shared" si="47"/>
        <v>0</v>
      </c>
      <c r="J62" s="209"/>
      <c r="K62" s="209"/>
      <c r="L62" s="209"/>
      <c r="M62" s="209"/>
    </row>
    <row r="63" spans="1:13" ht="31.5" customHeight="1">
      <c r="A63" s="118" t="s">
        <v>493</v>
      </c>
      <c r="B63" s="3" t="s">
        <v>255</v>
      </c>
      <c r="C63" s="46" t="s">
        <v>69</v>
      </c>
      <c r="D63" s="207">
        <f>SUM(D64:D66,D69)</f>
        <v>0</v>
      </c>
      <c r="E63" s="207"/>
      <c r="F63" s="207"/>
      <c r="G63" s="207"/>
      <c r="H63" s="207"/>
      <c r="I63" s="207"/>
      <c r="J63" s="207"/>
      <c r="K63" s="207"/>
      <c r="L63" s="207"/>
      <c r="M63" s="207"/>
    </row>
    <row r="64" spans="1:13">
      <c r="A64" s="118" t="s">
        <v>410</v>
      </c>
      <c r="B64" s="4" t="s">
        <v>89</v>
      </c>
      <c r="C64" s="43" t="s">
        <v>175</v>
      </c>
      <c r="D64" s="209"/>
      <c r="E64" s="208"/>
      <c r="F64" s="208"/>
      <c r="G64" s="208"/>
      <c r="H64" s="208"/>
      <c r="I64" s="208"/>
      <c r="J64" s="208"/>
      <c r="K64" s="208"/>
      <c r="L64" s="208"/>
      <c r="M64" s="208"/>
    </row>
    <row r="65" spans="1:13" ht="31.2">
      <c r="A65" s="118" t="s">
        <v>494</v>
      </c>
      <c r="B65" s="4" t="s">
        <v>248</v>
      </c>
      <c r="C65" s="43" t="s">
        <v>176</v>
      </c>
      <c r="D65" s="209"/>
      <c r="E65" s="208"/>
      <c r="F65" s="208"/>
      <c r="G65" s="208"/>
      <c r="H65" s="208"/>
      <c r="I65" s="208"/>
      <c r="J65" s="208"/>
      <c r="K65" s="208"/>
      <c r="L65" s="208"/>
      <c r="M65" s="208"/>
    </row>
    <row r="66" spans="1:13">
      <c r="A66" s="118" t="s">
        <v>495</v>
      </c>
      <c r="B66" s="4" t="s">
        <v>256</v>
      </c>
      <c r="C66" s="43" t="s">
        <v>177</v>
      </c>
      <c r="D66" s="208">
        <f>D67+D68</f>
        <v>0</v>
      </c>
      <c r="E66" s="208"/>
      <c r="F66" s="208"/>
      <c r="G66" s="208"/>
      <c r="H66" s="208"/>
      <c r="I66" s="208"/>
      <c r="J66" s="208"/>
      <c r="K66" s="208"/>
      <c r="L66" s="208"/>
      <c r="M66" s="208"/>
    </row>
    <row r="67" spans="1:13">
      <c r="A67" s="118" t="s">
        <v>496</v>
      </c>
      <c r="B67" s="6" t="s">
        <v>186</v>
      </c>
      <c r="C67" s="43" t="s">
        <v>178</v>
      </c>
      <c r="D67" s="209"/>
      <c r="E67" s="208"/>
      <c r="F67" s="208"/>
      <c r="G67" s="208"/>
      <c r="H67" s="208"/>
      <c r="I67" s="208"/>
      <c r="J67" s="208"/>
      <c r="K67" s="208"/>
      <c r="L67" s="208"/>
      <c r="M67" s="208"/>
    </row>
    <row r="68" spans="1:13">
      <c r="A68" s="118" t="s">
        <v>497</v>
      </c>
      <c r="B68" s="6" t="s">
        <v>187</v>
      </c>
      <c r="C68" s="43" t="s">
        <v>179</v>
      </c>
      <c r="D68" s="209"/>
      <c r="E68" s="208"/>
      <c r="F68" s="208"/>
      <c r="G68" s="208"/>
      <c r="H68" s="208"/>
      <c r="I68" s="208"/>
      <c r="J68" s="208"/>
      <c r="K68" s="208"/>
      <c r="L68" s="208"/>
      <c r="M68" s="208"/>
    </row>
    <row r="69" spans="1:13">
      <c r="A69" s="118" t="s">
        <v>498</v>
      </c>
      <c r="B69" s="4" t="s">
        <v>188</v>
      </c>
      <c r="C69" s="43" t="s">
        <v>180</v>
      </c>
      <c r="D69" s="208">
        <f>D70+D71</f>
        <v>0</v>
      </c>
      <c r="E69" s="208"/>
      <c r="F69" s="208"/>
      <c r="G69" s="208"/>
      <c r="H69" s="208"/>
      <c r="I69" s="208"/>
      <c r="J69" s="208"/>
      <c r="K69" s="208"/>
      <c r="L69" s="208"/>
      <c r="M69" s="208"/>
    </row>
    <row r="70" spans="1:13">
      <c r="A70" s="118" t="s">
        <v>499</v>
      </c>
      <c r="B70" s="6" t="s">
        <v>189</v>
      </c>
      <c r="C70" s="43" t="s">
        <v>181</v>
      </c>
      <c r="D70" s="209"/>
      <c r="E70" s="208"/>
      <c r="F70" s="208"/>
      <c r="G70" s="208"/>
      <c r="H70" s="208"/>
      <c r="I70" s="208"/>
      <c r="J70" s="208"/>
      <c r="K70" s="208"/>
      <c r="L70" s="208"/>
      <c r="M70" s="208"/>
    </row>
    <row r="71" spans="1:13">
      <c r="A71" s="118" t="s">
        <v>500</v>
      </c>
      <c r="B71" s="6" t="s">
        <v>190</v>
      </c>
      <c r="C71" s="43" t="s">
        <v>182</v>
      </c>
      <c r="D71" s="209"/>
      <c r="E71" s="208"/>
      <c r="F71" s="208"/>
      <c r="G71" s="208"/>
      <c r="H71" s="208"/>
      <c r="I71" s="208"/>
      <c r="J71" s="208"/>
      <c r="K71" s="208"/>
      <c r="L71" s="208"/>
      <c r="M71" s="208"/>
    </row>
  </sheetData>
  <sheetProtection algorithmName="SHA-512" hashValue="BbywfAV8Ma8PgkYnB2sM7NmKtseRuOgXPk8he8InrQ8IQS++YgOguuKRXxkoibuTR1hsPgESSESJod3Kwq7EDA==" saltValue="VbPWM4y4M1qUNCdhEKPh3A==" spinCount="100000" sheet="1" objects="1" scenarios="1"/>
  <mergeCells count="16">
    <mergeCell ref="B2:M2"/>
    <mergeCell ref="B3:M3"/>
    <mergeCell ref="B7:B8"/>
    <mergeCell ref="B9:C9"/>
    <mergeCell ref="B6:M6"/>
    <mergeCell ref="B4:M4"/>
    <mergeCell ref="B38:M38"/>
    <mergeCell ref="B39:M39"/>
    <mergeCell ref="C7:C8"/>
    <mergeCell ref="D7:H7"/>
    <mergeCell ref="I7:M7"/>
    <mergeCell ref="B41:B42"/>
    <mergeCell ref="C41:C42"/>
    <mergeCell ref="D41:H41"/>
    <mergeCell ref="I41:M41"/>
    <mergeCell ref="B43:C43"/>
  </mergeCells>
  <phoneticPr fontId="52" type="noConversion"/>
  <conditionalFormatting sqref="D7:H7">
    <cfRule type="expression" dxfId="11" priority="2">
      <formula>#REF!="PLEASE CORRECT ALL COMPARISON RULES"</formula>
    </cfRule>
  </conditionalFormatting>
  <conditionalFormatting sqref="D41:H41">
    <cfRule type="expression" dxfId="10" priority="1">
      <formula>#REF!="PLEASE CORRECT ALL COMPARISON RULES"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CCA52-C785-461B-930C-8FBDE5447CC0}">
  <dimension ref="A1:N40"/>
  <sheetViews>
    <sheetView showGridLines="0" topLeftCell="A24" zoomScaleNormal="100" workbookViewId="0">
      <selection activeCell="D34" sqref="D34:H36"/>
    </sheetView>
  </sheetViews>
  <sheetFormatPr defaultColWidth="9.109375" defaultRowHeight="15.6"/>
  <cols>
    <col min="1" max="1" width="9.109375" style="117"/>
    <col min="2" max="2" width="56.5546875" style="39" customWidth="1"/>
    <col min="3" max="3" width="11.109375" style="39" customWidth="1"/>
    <col min="4" max="4" width="18.88671875" style="40" customWidth="1"/>
    <col min="5" max="5" width="19" style="40" customWidth="1"/>
    <col min="6" max="6" width="18.6640625" style="40" customWidth="1"/>
    <col min="7" max="7" width="17.6640625" style="40" customWidth="1"/>
    <col min="8" max="8" width="22.88671875" style="40" customWidth="1"/>
    <col min="9" max="9" width="16.88671875" style="40" customWidth="1"/>
    <col min="10" max="10" width="16.109375" style="40" customWidth="1"/>
    <col min="11" max="12" width="16" style="40" customWidth="1"/>
    <col min="13" max="13" width="23.6640625" style="40" customWidth="1"/>
    <col min="14" max="14" width="4.6640625" style="39" customWidth="1"/>
    <col min="15" max="16384" width="9.109375" style="39"/>
  </cols>
  <sheetData>
    <row r="1" spans="1:14" s="52" customFormat="1">
      <c r="A1" s="112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14" s="54" customFormat="1">
      <c r="A2" s="122"/>
      <c r="B2" s="155" t="s">
        <v>321</v>
      </c>
      <c r="C2" s="155"/>
      <c r="D2" s="155"/>
      <c r="E2" s="155"/>
      <c r="F2" s="155"/>
      <c r="G2" s="155"/>
      <c r="H2" s="155"/>
      <c r="I2" s="20"/>
      <c r="J2" s="20"/>
      <c r="K2" s="20"/>
      <c r="L2" s="20"/>
      <c r="M2" s="20"/>
    </row>
    <row r="3" spans="1:14" s="40" customFormat="1" ht="22.5" customHeight="1">
      <c r="A3" s="122"/>
      <c r="B3" s="154" t="s">
        <v>346</v>
      </c>
      <c r="C3" s="154"/>
      <c r="D3" s="154"/>
      <c r="E3" s="154"/>
      <c r="F3" s="154"/>
      <c r="G3" s="154"/>
      <c r="H3" s="154"/>
      <c r="N3" s="39"/>
    </row>
    <row r="4" spans="1:14" s="40" customFormat="1">
      <c r="A4" s="122"/>
      <c r="B4" s="155" t="s">
        <v>322</v>
      </c>
      <c r="C4" s="155"/>
      <c r="D4" s="155"/>
      <c r="E4" s="155"/>
      <c r="F4" s="155"/>
      <c r="G4" s="155"/>
      <c r="H4" s="155"/>
      <c r="N4" s="39"/>
    </row>
    <row r="5" spans="1:14" s="40" customFormat="1">
      <c r="A5" s="111"/>
      <c r="B5" s="39"/>
      <c r="C5" s="39"/>
      <c r="H5" s="32" t="s">
        <v>0</v>
      </c>
      <c r="N5" s="39"/>
    </row>
    <row r="6" spans="1:14" s="40" customFormat="1" ht="22.5" customHeight="1">
      <c r="A6" s="115"/>
      <c r="B6" s="173" t="s">
        <v>147</v>
      </c>
      <c r="C6" s="158"/>
      <c r="D6" s="144" t="s">
        <v>92</v>
      </c>
      <c r="E6" s="144"/>
      <c r="F6" s="144"/>
      <c r="G6" s="144"/>
      <c r="H6" s="144"/>
      <c r="N6" s="39"/>
    </row>
    <row r="7" spans="1:14" s="40" customFormat="1">
      <c r="A7" s="115"/>
      <c r="B7" s="158"/>
      <c r="C7" s="158"/>
      <c r="D7" s="1" t="s">
        <v>91</v>
      </c>
      <c r="E7" s="46" t="s">
        <v>1</v>
      </c>
      <c r="F7" s="46" t="s">
        <v>2</v>
      </c>
      <c r="G7" s="46" t="s">
        <v>3</v>
      </c>
      <c r="H7" s="2" t="s">
        <v>354</v>
      </c>
      <c r="N7" s="39"/>
    </row>
    <row r="8" spans="1:14" s="40" customFormat="1">
      <c r="A8" s="115"/>
      <c r="B8" s="156">
        <v>1</v>
      </c>
      <c r="C8" s="157"/>
      <c r="D8" s="46">
        <v>2</v>
      </c>
      <c r="E8" s="46">
        <v>3</v>
      </c>
      <c r="F8" s="46">
        <v>4</v>
      </c>
      <c r="G8" s="46">
        <v>5</v>
      </c>
      <c r="H8" s="46">
        <v>6</v>
      </c>
      <c r="N8" s="39"/>
    </row>
    <row r="9" spans="1:14" s="40" customFormat="1">
      <c r="A9" s="115" t="s">
        <v>23</v>
      </c>
      <c r="B9" s="41" t="s">
        <v>148</v>
      </c>
      <c r="C9" s="46" t="s">
        <v>23</v>
      </c>
      <c r="D9" s="124"/>
      <c r="E9" s="125"/>
      <c r="F9" s="125"/>
      <c r="G9" s="125"/>
      <c r="H9" s="126"/>
      <c r="N9" s="39"/>
    </row>
    <row r="10" spans="1:14" s="40" customFormat="1">
      <c r="A10" s="115" t="s">
        <v>39</v>
      </c>
      <c r="B10" s="42" t="s">
        <v>328</v>
      </c>
      <c r="C10" s="43" t="s">
        <v>32</v>
      </c>
      <c r="D10" s="189">
        <f>SUM(E10:H10)</f>
        <v>0</v>
      </c>
      <c r="E10" s="186"/>
      <c r="F10" s="186"/>
      <c r="G10" s="186"/>
      <c r="H10" s="186"/>
      <c r="N10" s="39"/>
    </row>
    <row r="11" spans="1:14" s="40" customFormat="1">
      <c r="A11" s="115" t="s">
        <v>52</v>
      </c>
      <c r="B11" s="42" t="s">
        <v>355</v>
      </c>
      <c r="C11" s="43" t="s">
        <v>33</v>
      </c>
      <c r="D11" s="189">
        <f t="shared" ref="D11:D15" si="0">SUM(E11:H11)</f>
        <v>0</v>
      </c>
      <c r="E11" s="186"/>
      <c r="F11" s="186"/>
      <c r="G11" s="186"/>
      <c r="H11" s="186"/>
      <c r="N11" s="39"/>
    </row>
    <row r="12" spans="1:14" s="40" customFormat="1">
      <c r="A12" s="115" t="s">
        <v>53</v>
      </c>
      <c r="B12" s="42" t="s">
        <v>343</v>
      </c>
      <c r="C12" s="43" t="s">
        <v>34</v>
      </c>
      <c r="D12" s="189">
        <f t="shared" si="0"/>
        <v>0</v>
      </c>
      <c r="E12" s="186"/>
      <c r="F12" s="186"/>
      <c r="G12" s="186"/>
      <c r="H12" s="186"/>
      <c r="N12" s="39"/>
    </row>
    <row r="13" spans="1:14" s="40" customFormat="1">
      <c r="A13" s="115" t="s">
        <v>388</v>
      </c>
      <c r="B13" s="42" t="s">
        <v>272</v>
      </c>
      <c r="C13" s="43" t="s">
        <v>35</v>
      </c>
      <c r="D13" s="189">
        <f>SUM(E13:H13)</f>
        <v>0</v>
      </c>
      <c r="E13" s="189">
        <f>-(F13+G13)</f>
        <v>0</v>
      </c>
      <c r="F13" s="186"/>
      <c r="G13" s="186"/>
      <c r="H13" s="189"/>
      <c r="N13" s="39"/>
    </row>
    <row r="14" spans="1:14" s="40" customFormat="1">
      <c r="A14" s="115" t="s">
        <v>398</v>
      </c>
      <c r="B14" s="42" t="s">
        <v>273</v>
      </c>
      <c r="C14" s="43" t="s">
        <v>36</v>
      </c>
      <c r="D14" s="189">
        <f>SUM(E14:H14)</f>
        <v>0</v>
      </c>
      <c r="E14" s="186"/>
      <c r="F14" s="189">
        <f>-(E14+G14)</f>
        <v>0</v>
      </c>
      <c r="G14" s="186"/>
      <c r="H14" s="189"/>
      <c r="N14" s="39"/>
    </row>
    <row r="15" spans="1:14" s="40" customFormat="1">
      <c r="A15" s="115" t="s">
        <v>399</v>
      </c>
      <c r="B15" s="42" t="s">
        <v>274</v>
      </c>
      <c r="C15" s="43" t="s">
        <v>37</v>
      </c>
      <c r="D15" s="189">
        <f t="shared" si="0"/>
        <v>0</v>
      </c>
      <c r="E15" s="186"/>
      <c r="F15" s="186"/>
      <c r="G15" s="189">
        <f>-(E15+F15)</f>
        <v>0</v>
      </c>
      <c r="H15" s="189"/>
      <c r="N15" s="39"/>
    </row>
    <row r="16" spans="1:14" s="40" customFormat="1" ht="18" customHeight="1">
      <c r="A16" s="115" t="s">
        <v>400</v>
      </c>
      <c r="B16" s="42" t="s">
        <v>329</v>
      </c>
      <c r="C16" s="43" t="s">
        <v>38</v>
      </c>
      <c r="D16" s="188">
        <f>D10+D11-D12+D13+D14+D15</f>
        <v>0</v>
      </c>
      <c r="E16" s="188">
        <f>E10+E11-E12+E13+E14+E15</f>
        <v>0</v>
      </c>
      <c r="F16" s="188">
        <f t="shared" ref="F16" si="1">F10+F11-F12+F13+F14+F15</f>
        <v>0</v>
      </c>
      <c r="G16" s="188">
        <f>G10+G11-G12+G13+G14+G15</f>
        <v>0</v>
      </c>
      <c r="H16" s="188">
        <f>H10+H11-H12</f>
        <v>0</v>
      </c>
      <c r="N16" s="39"/>
    </row>
    <row r="17" spans="1:14" s="40" customFormat="1" ht="31.2">
      <c r="A17" s="115" t="s">
        <v>401</v>
      </c>
      <c r="B17" s="44" t="s">
        <v>254</v>
      </c>
      <c r="C17" s="46" t="s">
        <v>23</v>
      </c>
      <c r="D17" s="124"/>
      <c r="E17" s="125"/>
      <c r="F17" s="125"/>
      <c r="G17" s="125"/>
      <c r="H17" s="126"/>
      <c r="N17" s="39"/>
    </row>
    <row r="18" spans="1:14" s="40" customFormat="1">
      <c r="A18" s="115" t="s">
        <v>402</v>
      </c>
      <c r="B18" s="42" t="s">
        <v>328</v>
      </c>
      <c r="C18" s="43" t="s">
        <v>32</v>
      </c>
      <c r="D18" s="189">
        <f>SUM(E18:H18)</f>
        <v>0</v>
      </c>
      <c r="E18" s="186"/>
      <c r="F18" s="186"/>
      <c r="G18" s="186"/>
      <c r="H18" s="186"/>
      <c r="N18" s="39"/>
    </row>
    <row r="19" spans="1:14" s="40" customFormat="1">
      <c r="A19" s="115" t="s">
        <v>394</v>
      </c>
      <c r="B19" s="42" t="s">
        <v>355</v>
      </c>
      <c r="C19" s="43" t="s">
        <v>33</v>
      </c>
      <c r="D19" s="189">
        <f t="shared" ref="D19:D21" si="2">SUM(E19:H19)</f>
        <v>0</v>
      </c>
      <c r="E19" s="186"/>
      <c r="F19" s="186"/>
      <c r="G19" s="186"/>
      <c r="H19" s="186"/>
      <c r="N19" s="39"/>
    </row>
    <row r="20" spans="1:14" s="40" customFormat="1">
      <c r="A20" s="115" t="s">
        <v>403</v>
      </c>
      <c r="B20" s="42" t="s">
        <v>343</v>
      </c>
      <c r="C20" s="43" t="s">
        <v>34</v>
      </c>
      <c r="D20" s="189">
        <f t="shared" si="2"/>
        <v>0</v>
      </c>
      <c r="E20" s="186"/>
      <c r="F20" s="186"/>
      <c r="G20" s="186"/>
      <c r="H20" s="186"/>
      <c r="N20" s="39"/>
    </row>
    <row r="21" spans="1:14" s="40" customFormat="1">
      <c r="A21" s="115" t="s">
        <v>404</v>
      </c>
      <c r="B21" s="42" t="s">
        <v>344</v>
      </c>
      <c r="C21" s="43" t="s">
        <v>35</v>
      </c>
      <c r="D21" s="189">
        <f t="shared" si="2"/>
        <v>0</v>
      </c>
      <c r="E21" s="186"/>
      <c r="F21" s="186"/>
      <c r="G21" s="186"/>
      <c r="H21" s="186"/>
      <c r="N21" s="39"/>
    </row>
    <row r="22" spans="1:14" s="40" customFormat="1">
      <c r="A22" s="115" t="s">
        <v>405</v>
      </c>
      <c r="B22" s="42" t="s">
        <v>272</v>
      </c>
      <c r="C22" s="43" t="s">
        <v>36</v>
      </c>
      <c r="D22" s="189">
        <f>SUM(E22:H22)</f>
        <v>0</v>
      </c>
      <c r="E22" s="189">
        <f>-(F22+G22)</f>
        <v>0</v>
      </c>
      <c r="F22" s="186"/>
      <c r="G22" s="186"/>
      <c r="H22" s="189"/>
      <c r="N22" s="39"/>
    </row>
    <row r="23" spans="1:14" s="40" customFormat="1">
      <c r="A23" s="115" t="s">
        <v>406</v>
      </c>
      <c r="B23" s="42" t="s">
        <v>273</v>
      </c>
      <c r="C23" s="43" t="s">
        <v>37</v>
      </c>
      <c r="D23" s="189">
        <f>SUM(E23:H23)</f>
        <v>0</v>
      </c>
      <c r="E23" s="186"/>
      <c r="F23" s="189">
        <f>-(E23+G23)</f>
        <v>0</v>
      </c>
      <c r="G23" s="186"/>
      <c r="H23" s="189"/>
      <c r="N23" s="39"/>
    </row>
    <row r="24" spans="1:14" s="40" customFormat="1">
      <c r="A24" s="115" t="s">
        <v>407</v>
      </c>
      <c r="B24" s="42" t="s">
        <v>274</v>
      </c>
      <c r="C24" s="43" t="s">
        <v>38</v>
      </c>
      <c r="D24" s="189">
        <f t="shared" ref="D24" si="3">SUM(E24:H24)</f>
        <v>0</v>
      </c>
      <c r="E24" s="186"/>
      <c r="F24" s="186"/>
      <c r="G24" s="189">
        <f>-(E24+F24)</f>
        <v>0</v>
      </c>
      <c r="H24" s="189"/>
      <c r="N24" s="39"/>
    </row>
    <row r="25" spans="1:14" s="40" customFormat="1" ht="18" customHeight="1">
      <c r="A25" s="115" t="s">
        <v>408</v>
      </c>
      <c r="B25" s="42" t="s">
        <v>329</v>
      </c>
      <c r="C25" s="43" t="s">
        <v>345</v>
      </c>
      <c r="D25" s="188">
        <f>D18+D19-D20+D21+D22+D23+D24</f>
        <v>0</v>
      </c>
      <c r="E25" s="188">
        <f t="shared" ref="E25:G25" si="4">E18+E19-E20+E21+E22+E23+E24</f>
        <v>0</v>
      </c>
      <c r="F25" s="188">
        <f t="shared" si="4"/>
        <v>0</v>
      </c>
      <c r="G25" s="188">
        <f t="shared" si="4"/>
        <v>0</v>
      </c>
      <c r="H25" s="188">
        <f>H18+H19-H20+H21</f>
        <v>0</v>
      </c>
      <c r="N25" s="39"/>
    </row>
    <row r="26" spans="1:14" s="59" customFormat="1">
      <c r="A26" s="116"/>
      <c r="B26" s="56"/>
      <c r="C26" s="57"/>
      <c r="D26" s="58"/>
      <c r="E26" s="57"/>
      <c r="F26" s="57"/>
      <c r="G26" s="57"/>
      <c r="H26" s="57"/>
      <c r="N26" s="54"/>
    </row>
    <row r="28" spans="1:14" s="40" customFormat="1" ht="20.25" customHeight="1">
      <c r="A28" s="122"/>
      <c r="B28" s="154" t="s">
        <v>358</v>
      </c>
      <c r="C28" s="154"/>
      <c r="D28" s="154"/>
      <c r="E28" s="154"/>
      <c r="F28" s="154"/>
      <c r="G28" s="154"/>
      <c r="H28" s="154"/>
      <c r="N28" s="39"/>
    </row>
    <row r="29" spans="1:14" s="40" customFormat="1">
      <c r="A29" s="122"/>
      <c r="B29" s="155" t="s">
        <v>322</v>
      </c>
      <c r="C29" s="155"/>
      <c r="D29" s="155"/>
      <c r="E29" s="155"/>
      <c r="F29" s="155"/>
      <c r="G29" s="155"/>
      <c r="H29" s="155"/>
      <c r="N29" s="39"/>
    </row>
    <row r="30" spans="1:14" s="40" customFormat="1">
      <c r="A30" s="114"/>
      <c r="C30" s="39"/>
      <c r="H30" s="32" t="s">
        <v>0</v>
      </c>
      <c r="N30" s="39"/>
    </row>
    <row r="31" spans="1:14" ht="22.5" customHeight="1">
      <c r="B31" s="158" t="s">
        <v>147</v>
      </c>
      <c r="C31" s="158"/>
      <c r="D31" s="144" t="s">
        <v>205</v>
      </c>
      <c r="E31" s="144"/>
      <c r="F31" s="144"/>
      <c r="G31" s="144"/>
      <c r="H31" s="144"/>
    </row>
    <row r="32" spans="1:14">
      <c r="B32" s="158"/>
      <c r="C32" s="158"/>
      <c r="D32" s="1" t="s">
        <v>91</v>
      </c>
      <c r="E32" s="46" t="s">
        <v>1</v>
      </c>
      <c r="F32" s="46" t="s">
        <v>2</v>
      </c>
      <c r="G32" s="46" t="s">
        <v>3</v>
      </c>
      <c r="H32" s="2" t="s">
        <v>354</v>
      </c>
    </row>
    <row r="33" spans="1:14">
      <c r="B33" s="156">
        <v>1</v>
      </c>
      <c r="C33" s="157"/>
      <c r="D33" s="46">
        <v>2</v>
      </c>
      <c r="E33" s="46">
        <v>3</v>
      </c>
      <c r="F33" s="46">
        <v>4</v>
      </c>
      <c r="G33" s="46">
        <v>5</v>
      </c>
      <c r="H33" s="46">
        <v>6</v>
      </c>
    </row>
    <row r="34" spans="1:14">
      <c r="A34" s="117" t="s">
        <v>55</v>
      </c>
      <c r="B34" s="60" t="s">
        <v>339</v>
      </c>
      <c r="C34" s="46" t="s">
        <v>39</v>
      </c>
      <c r="D34" s="124"/>
      <c r="E34" s="125"/>
      <c r="F34" s="125"/>
      <c r="G34" s="125"/>
      <c r="H34" s="126"/>
    </row>
    <row r="35" spans="1:14">
      <c r="A35" s="117" t="s">
        <v>63</v>
      </c>
      <c r="B35" s="42" t="s">
        <v>328</v>
      </c>
      <c r="C35" s="43" t="s">
        <v>40</v>
      </c>
      <c r="D35" s="189">
        <f>SUM(E35:H35)</f>
        <v>0</v>
      </c>
      <c r="E35" s="186"/>
      <c r="F35" s="186"/>
      <c r="G35" s="186"/>
      <c r="H35" s="186"/>
    </row>
    <row r="36" spans="1:14" s="40" customFormat="1">
      <c r="A36" s="117" t="s">
        <v>69</v>
      </c>
      <c r="B36" s="42" t="s">
        <v>329</v>
      </c>
      <c r="C36" s="43" t="s">
        <v>41</v>
      </c>
      <c r="D36" s="189">
        <f>SUM(E36:H36)</f>
        <v>0</v>
      </c>
      <c r="E36" s="186"/>
      <c r="F36" s="186"/>
      <c r="G36" s="186"/>
      <c r="H36" s="186"/>
      <c r="N36" s="39"/>
    </row>
    <row r="37" spans="1:14" s="40" customFormat="1" ht="11.25" customHeight="1">
      <c r="A37" s="115"/>
      <c r="B37" s="39"/>
      <c r="C37" s="39"/>
      <c r="N37" s="39"/>
    </row>
    <row r="38" spans="1:14" s="40" customFormat="1" ht="12" customHeight="1">
      <c r="A38" s="115"/>
      <c r="B38" s="39"/>
      <c r="C38" s="39"/>
      <c r="N38" s="39"/>
    </row>
    <row r="39" spans="1:14" s="40" customFormat="1">
      <c r="A39" s="115" t="s">
        <v>72</v>
      </c>
      <c r="B39" s="31" t="s">
        <v>323</v>
      </c>
      <c r="C39" s="39"/>
      <c r="N39" s="39"/>
    </row>
    <row r="40" spans="1:14" ht="16.2">
      <c r="A40" s="117" t="s">
        <v>80</v>
      </c>
      <c r="B40" s="38" t="s">
        <v>342</v>
      </c>
    </row>
  </sheetData>
  <sheetProtection algorithmName="SHA-512" hashValue="dhHyXA+8E/I8/YM5GoHok994KgILrWKlk/wwEWKrTRfqdOXvTjUOy+bHSqL/sgaDN5RX6XVz57sG+w2qRlHZ7g==" saltValue="tHsoQi6quWZ/ExjSvwAxyQ==" spinCount="100000" sheet="1" objects="1" scenarios="1"/>
  <mergeCells count="13">
    <mergeCell ref="B8:C8"/>
    <mergeCell ref="B28:H28"/>
    <mergeCell ref="B2:H2"/>
    <mergeCell ref="B3:H3"/>
    <mergeCell ref="B4:H4"/>
    <mergeCell ref="B6:B7"/>
    <mergeCell ref="C6:C7"/>
    <mergeCell ref="D6:H6"/>
    <mergeCell ref="B29:H29"/>
    <mergeCell ref="B31:B32"/>
    <mergeCell ref="C31:C32"/>
    <mergeCell ref="D31:H31"/>
    <mergeCell ref="B33:C33"/>
  </mergeCells>
  <phoneticPr fontId="52" type="noConversion"/>
  <conditionalFormatting sqref="D6:H6">
    <cfRule type="expression" dxfId="9" priority="2">
      <formula>#REF!="PLEASE CORRECT ALL COMPARISON RULES"</formula>
    </cfRule>
  </conditionalFormatting>
  <conditionalFormatting sqref="D31:H31">
    <cfRule type="expression" dxfId="8" priority="1">
      <formula>#REF!="PLEASE CORRECT ALL COMPARISON RULES"</formula>
    </cfRule>
  </conditionalFormatting>
  <pageMargins left="0.7" right="0.7" top="0.75" bottom="0.75" header="0.3" footer="0.3"/>
  <pageSetup paperSize="9" scale="5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CC4E0-ACBE-4E9B-BF44-FEB034A7C8DB}">
  <dimension ref="A2:L40"/>
  <sheetViews>
    <sheetView showGridLines="0" topLeftCell="A6" zoomScale="85" zoomScaleNormal="85" workbookViewId="0">
      <selection activeCell="D29" sqref="D29:K40"/>
    </sheetView>
  </sheetViews>
  <sheetFormatPr defaultColWidth="9.109375" defaultRowHeight="15.6"/>
  <cols>
    <col min="1" max="1" width="6.109375" style="123" customWidth="1"/>
    <col min="2" max="2" width="41" style="18" customWidth="1"/>
    <col min="3" max="3" width="8" style="18" customWidth="1"/>
    <col min="4" max="4" width="16.88671875" style="18" customWidth="1"/>
    <col min="5" max="5" width="15" style="18" customWidth="1"/>
    <col min="6" max="6" width="17.6640625" style="18" customWidth="1"/>
    <col min="7" max="11" width="13" style="18" customWidth="1"/>
    <col min="12" max="16384" width="9.109375" style="18"/>
  </cols>
  <sheetData>
    <row r="2" spans="1:12">
      <c r="B2" s="171" t="s">
        <v>265</v>
      </c>
      <c r="C2" s="171"/>
      <c r="D2" s="171"/>
      <c r="E2" s="171"/>
      <c r="F2" s="171"/>
      <c r="G2" s="171"/>
      <c r="H2" s="171"/>
      <c r="I2" s="171"/>
      <c r="J2" s="171"/>
      <c r="K2" s="171"/>
      <c r="L2" s="8"/>
    </row>
    <row r="3" spans="1:12">
      <c r="B3" s="155" t="s">
        <v>202</v>
      </c>
      <c r="C3" s="155"/>
      <c r="D3" s="155"/>
      <c r="E3" s="155"/>
      <c r="F3" s="155"/>
      <c r="G3" s="155"/>
      <c r="H3" s="155"/>
      <c r="I3" s="155"/>
      <c r="J3" s="155"/>
      <c r="K3" s="155"/>
      <c r="L3" s="20"/>
    </row>
    <row r="4" spans="1:12" ht="19.2" customHeight="1">
      <c r="B4" s="155" t="s">
        <v>260</v>
      </c>
      <c r="C4" s="155"/>
      <c r="D4" s="155"/>
      <c r="E4" s="155"/>
      <c r="F4" s="155"/>
      <c r="G4" s="155"/>
      <c r="H4" s="155"/>
      <c r="I4" s="155"/>
      <c r="J4" s="155"/>
      <c r="K4" s="155"/>
      <c r="L4" s="20"/>
    </row>
    <row r="5" spans="1:12">
      <c r="B5" s="174" t="s">
        <v>0</v>
      </c>
      <c r="C5" s="174"/>
      <c r="D5" s="174"/>
      <c r="E5" s="174"/>
      <c r="F5" s="174"/>
      <c r="G5" s="174"/>
      <c r="H5" s="174"/>
      <c r="I5" s="174"/>
      <c r="J5" s="174"/>
      <c r="K5" s="174"/>
      <c r="L5" s="19"/>
    </row>
    <row r="6" spans="1:12" ht="21.6" customHeight="1">
      <c r="B6" s="175" t="s">
        <v>203</v>
      </c>
      <c r="C6" s="176"/>
      <c r="D6" s="144" t="s">
        <v>92</v>
      </c>
      <c r="E6" s="144"/>
      <c r="F6" s="144"/>
      <c r="G6" s="144"/>
      <c r="H6" s="170" t="s">
        <v>205</v>
      </c>
      <c r="I6" s="170"/>
      <c r="J6" s="170"/>
      <c r="K6" s="170"/>
    </row>
    <row r="7" spans="1:12" ht="20.399999999999999" customHeight="1">
      <c r="B7" s="177"/>
      <c r="C7" s="178"/>
      <c r="D7" s="1" t="s">
        <v>91</v>
      </c>
      <c r="E7" s="46" t="s">
        <v>1</v>
      </c>
      <c r="F7" s="46" t="s">
        <v>2</v>
      </c>
      <c r="G7" s="46" t="s">
        <v>3</v>
      </c>
      <c r="H7" s="2" t="s">
        <v>91</v>
      </c>
      <c r="I7" s="46" t="s">
        <v>1</v>
      </c>
      <c r="J7" s="46" t="s">
        <v>2</v>
      </c>
      <c r="K7" s="46" t="s">
        <v>3</v>
      </c>
    </row>
    <row r="8" spans="1:12">
      <c r="B8" s="156">
        <v>1</v>
      </c>
      <c r="C8" s="157"/>
      <c r="D8" s="46">
        <v>2</v>
      </c>
      <c r="E8" s="46">
        <v>3</v>
      </c>
      <c r="F8" s="46">
        <v>4</v>
      </c>
      <c r="G8" s="46">
        <v>5</v>
      </c>
      <c r="H8" s="46">
        <v>6</v>
      </c>
      <c r="I8" s="46">
        <v>7</v>
      </c>
      <c r="J8" s="46">
        <v>8</v>
      </c>
      <c r="K8" s="46">
        <v>9</v>
      </c>
    </row>
    <row r="9" spans="1:12" ht="18" customHeight="1">
      <c r="A9" s="123" t="s">
        <v>23</v>
      </c>
      <c r="B9" s="3" t="s">
        <v>201</v>
      </c>
      <c r="C9" s="46" t="s">
        <v>54</v>
      </c>
      <c r="D9" s="206">
        <f>D10+D14+D17+D20</f>
        <v>0</v>
      </c>
      <c r="E9" s="206">
        <f>E10+E14+E17+E20</f>
        <v>0</v>
      </c>
      <c r="F9" s="206">
        <f t="shared" ref="F9:K9" si="0">F10+F14+F17+F20</f>
        <v>0</v>
      </c>
      <c r="G9" s="206">
        <f t="shared" si="0"/>
        <v>0</v>
      </c>
      <c r="H9" s="206">
        <f>H10+H14+H17+H20</f>
        <v>0</v>
      </c>
      <c r="I9" s="206">
        <f>I10+I14+I17+I20</f>
        <v>0</v>
      </c>
      <c r="J9" s="206">
        <f t="shared" si="0"/>
        <v>0</v>
      </c>
      <c r="K9" s="206">
        <f t="shared" si="0"/>
        <v>0</v>
      </c>
    </row>
    <row r="10" spans="1:12" ht="18" customHeight="1">
      <c r="A10" s="123" t="s">
        <v>39</v>
      </c>
      <c r="B10" s="11" t="s">
        <v>197</v>
      </c>
      <c r="C10" s="10" t="s">
        <v>23</v>
      </c>
      <c r="D10" s="210">
        <f>D11+D12+D13</f>
        <v>0</v>
      </c>
      <c r="E10" s="211">
        <f>E11+E12+E13</f>
        <v>0</v>
      </c>
      <c r="F10" s="211">
        <f t="shared" ref="F10:K10" si="1">F11+F12+F13</f>
        <v>0</v>
      </c>
      <c r="G10" s="211">
        <f t="shared" si="1"/>
        <v>0</v>
      </c>
      <c r="H10" s="210">
        <f>H11+H12+H13</f>
        <v>0</v>
      </c>
      <c r="I10" s="211">
        <f t="shared" si="1"/>
        <v>0</v>
      </c>
      <c r="J10" s="211">
        <f t="shared" si="1"/>
        <v>0</v>
      </c>
      <c r="K10" s="211">
        <f t="shared" si="1"/>
        <v>0</v>
      </c>
    </row>
    <row r="11" spans="1:12" ht="18" customHeight="1">
      <c r="A11" s="123" t="s">
        <v>52</v>
      </c>
      <c r="B11" s="12" t="s">
        <v>191</v>
      </c>
      <c r="C11" s="10" t="s">
        <v>32</v>
      </c>
      <c r="D11" s="212">
        <f>SUM(E11:G11)</f>
        <v>0</v>
      </c>
      <c r="E11" s="213"/>
      <c r="F11" s="213"/>
      <c r="G11" s="214"/>
      <c r="H11" s="212">
        <f>SUM(I11:K11)</f>
        <v>0</v>
      </c>
      <c r="I11" s="214"/>
      <c r="J11" s="214"/>
      <c r="K11" s="214"/>
    </row>
    <row r="12" spans="1:12" ht="18" customHeight="1">
      <c r="A12" s="123" t="s">
        <v>53</v>
      </c>
      <c r="B12" s="12" t="s">
        <v>192</v>
      </c>
      <c r="C12" s="10" t="s">
        <v>33</v>
      </c>
      <c r="D12" s="212">
        <f>SUM(E12:G12)</f>
        <v>0</v>
      </c>
      <c r="E12" s="213"/>
      <c r="F12" s="213"/>
      <c r="G12" s="214"/>
      <c r="H12" s="212">
        <f>SUM(I12:K12)</f>
        <v>0</v>
      </c>
      <c r="I12" s="214"/>
      <c r="J12" s="214"/>
      <c r="K12" s="214"/>
    </row>
    <row r="13" spans="1:12" ht="18" customHeight="1">
      <c r="A13" s="123" t="s">
        <v>388</v>
      </c>
      <c r="B13" s="12" t="s">
        <v>198</v>
      </c>
      <c r="C13" s="10" t="s">
        <v>34</v>
      </c>
      <c r="D13" s="212">
        <f t="shared" ref="D13:D19" si="2">SUM(E13:G13)</f>
        <v>0</v>
      </c>
      <c r="E13" s="213"/>
      <c r="F13" s="213"/>
      <c r="G13" s="214"/>
      <c r="H13" s="212">
        <f t="shared" ref="H13:H19" si="3">SUM(I13:K13)</f>
        <v>0</v>
      </c>
      <c r="I13" s="214"/>
      <c r="J13" s="214"/>
      <c r="K13" s="214"/>
    </row>
    <row r="14" spans="1:12" ht="31.2">
      <c r="A14" s="123" t="s">
        <v>398</v>
      </c>
      <c r="B14" s="13" t="s">
        <v>199</v>
      </c>
      <c r="C14" s="10" t="s">
        <v>39</v>
      </c>
      <c r="D14" s="212">
        <f t="shared" si="2"/>
        <v>0</v>
      </c>
      <c r="E14" s="211">
        <f t="shared" ref="E14:K14" si="4">E15+E16</f>
        <v>0</v>
      </c>
      <c r="F14" s="211">
        <f t="shared" si="4"/>
        <v>0</v>
      </c>
      <c r="G14" s="211">
        <f t="shared" si="4"/>
        <v>0</v>
      </c>
      <c r="H14" s="212">
        <f>SUM(I14:K14)</f>
        <v>0</v>
      </c>
      <c r="I14" s="211">
        <f t="shared" si="4"/>
        <v>0</v>
      </c>
      <c r="J14" s="211">
        <f t="shared" si="4"/>
        <v>0</v>
      </c>
      <c r="K14" s="211">
        <f t="shared" si="4"/>
        <v>0</v>
      </c>
    </row>
    <row r="15" spans="1:12" ht="17.399999999999999" customHeight="1">
      <c r="A15" s="123" t="s">
        <v>399</v>
      </c>
      <c r="B15" s="14" t="s">
        <v>193</v>
      </c>
      <c r="C15" s="10" t="s">
        <v>40</v>
      </c>
      <c r="D15" s="212">
        <f>SUM(E15:G15)</f>
        <v>0</v>
      </c>
      <c r="E15" s="213"/>
      <c r="F15" s="213"/>
      <c r="G15" s="214"/>
      <c r="H15" s="212">
        <f t="shared" si="3"/>
        <v>0</v>
      </c>
      <c r="I15" s="214"/>
      <c r="J15" s="214"/>
      <c r="K15" s="214"/>
    </row>
    <row r="16" spans="1:12" ht="17.399999999999999" customHeight="1">
      <c r="A16" s="123" t="s">
        <v>400</v>
      </c>
      <c r="B16" s="15" t="s">
        <v>194</v>
      </c>
      <c r="C16" s="10" t="s">
        <v>41</v>
      </c>
      <c r="D16" s="212">
        <f t="shared" si="2"/>
        <v>0</v>
      </c>
      <c r="E16" s="213"/>
      <c r="F16" s="213"/>
      <c r="G16" s="214"/>
      <c r="H16" s="212">
        <f t="shared" si="3"/>
        <v>0</v>
      </c>
      <c r="I16" s="214"/>
      <c r="J16" s="214"/>
      <c r="K16" s="214"/>
    </row>
    <row r="17" spans="1:11" ht="17.399999999999999" customHeight="1">
      <c r="A17" s="123" t="s">
        <v>401</v>
      </c>
      <c r="B17" s="16" t="s">
        <v>200</v>
      </c>
      <c r="C17" s="10" t="s">
        <v>52</v>
      </c>
      <c r="D17" s="212">
        <f t="shared" si="2"/>
        <v>0</v>
      </c>
      <c r="E17" s="211">
        <f>E18+E19</f>
        <v>0</v>
      </c>
      <c r="F17" s="211">
        <f t="shared" ref="F17" si="5">F18+F19</f>
        <v>0</v>
      </c>
      <c r="G17" s="211">
        <f t="shared" ref="G17" si="6">G18+G19</f>
        <v>0</v>
      </c>
      <c r="H17" s="212">
        <f>SUM(I17:K17)</f>
        <v>0</v>
      </c>
      <c r="I17" s="211">
        <f t="shared" ref="I17" si="7">I18+I19</f>
        <v>0</v>
      </c>
      <c r="J17" s="211">
        <f t="shared" ref="J17" si="8">J18+J19</f>
        <v>0</v>
      </c>
      <c r="K17" s="211">
        <f t="shared" ref="K17" si="9">K18+K19</f>
        <v>0</v>
      </c>
    </row>
    <row r="18" spans="1:11" ht="17.399999999999999" customHeight="1">
      <c r="A18" s="123" t="s">
        <v>402</v>
      </c>
      <c r="B18" s="17" t="s">
        <v>195</v>
      </c>
      <c r="C18" s="10" t="s">
        <v>158</v>
      </c>
      <c r="D18" s="212">
        <f t="shared" si="2"/>
        <v>0</v>
      </c>
      <c r="E18" s="213"/>
      <c r="F18" s="213"/>
      <c r="G18" s="214"/>
      <c r="H18" s="212">
        <f t="shared" si="3"/>
        <v>0</v>
      </c>
      <c r="I18" s="214"/>
      <c r="J18" s="214"/>
      <c r="K18" s="214"/>
    </row>
    <row r="19" spans="1:11" ht="17.399999999999999" customHeight="1">
      <c r="A19" s="123" t="s">
        <v>394</v>
      </c>
      <c r="B19" s="17" t="s">
        <v>196</v>
      </c>
      <c r="C19" s="10" t="s">
        <v>159</v>
      </c>
      <c r="D19" s="212">
        <f t="shared" si="2"/>
        <v>0</v>
      </c>
      <c r="E19" s="213"/>
      <c r="F19" s="213"/>
      <c r="G19" s="214"/>
      <c r="H19" s="212">
        <f t="shared" si="3"/>
        <v>0</v>
      </c>
      <c r="I19" s="214"/>
      <c r="J19" s="214"/>
      <c r="K19" s="214"/>
    </row>
    <row r="20" spans="1:11" ht="17.399999999999999" customHeight="1">
      <c r="A20" s="123" t="s">
        <v>403</v>
      </c>
      <c r="B20" s="16" t="s">
        <v>184</v>
      </c>
      <c r="C20" s="10" t="s">
        <v>53</v>
      </c>
      <c r="D20" s="212">
        <f>SUM(E20:G20)</f>
        <v>0</v>
      </c>
      <c r="E20" s="213"/>
      <c r="F20" s="213"/>
      <c r="G20" s="214"/>
      <c r="H20" s="212">
        <f>SUM(I20:K20)</f>
        <v>0</v>
      </c>
      <c r="I20" s="214"/>
      <c r="J20" s="214"/>
      <c r="K20" s="214"/>
    </row>
    <row r="23" spans="1:11">
      <c r="B23" s="155" t="s">
        <v>204</v>
      </c>
      <c r="C23" s="155"/>
      <c r="D23" s="155"/>
      <c r="E23" s="155"/>
      <c r="F23" s="155"/>
      <c r="G23" s="155"/>
      <c r="H23" s="155"/>
      <c r="I23" s="155"/>
      <c r="J23" s="155"/>
      <c r="K23" s="155"/>
    </row>
    <row r="24" spans="1:11">
      <c r="B24" s="155" t="s">
        <v>258</v>
      </c>
      <c r="C24" s="155"/>
      <c r="D24" s="155"/>
      <c r="E24" s="155"/>
      <c r="F24" s="155"/>
      <c r="G24" s="155"/>
      <c r="H24" s="155"/>
      <c r="I24" s="155"/>
      <c r="J24" s="155"/>
      <c r="K24" s="155"/>
    </row>
    <row r="25" spans="1:11">
      <c r="B25" s="174" t="s">
        <v>0</v>
      </c>
      <c r="C25" s="174"/>
      <c r="D25" s="174"/>
      <c r="E25" s="174"/>
      <c r="F25" s="174"/>
      <c r="G25" s="174"/>
      <c r="H25" s="174"/>
      <c r="I25" s="174"/>
      <c r="J25" s="174"/>
      <c r="K25" s="174"/>
    </row>
    <row r="26" spans="1:11" ht="22.95" customHeight="1">
      <c r="B26" s="175" t="s">
        <v>203</v>
      </c>
      <c r="C26" s="176"/>
      <c r="D26" s="144" t="s">
        <v>92</v>
      </c>
      <c r="E26" s="144"/>
      <c r="F26" s="144"/>
      <c r="G26" s="144"/>
      <c r="H26" s="170" t="s">
        <v>205</v>
      </c>
      <c r="I26" s="170"/>
      <c r="J26" s="170"/>
      <c r="K26" s="170"/>
    </row>
    <row r="27" spans="1:11" ht="22.2" customHeight="1">
      <c r="B27" s="177"/>
      <c r="C27" s="178"/>
      <c r="D27" s="1" t="s">
        <v>91</v>
      </c>
      <c r="E27" s="46" t="s">
        <v>1</v>
      </c>
      <c r="F27" s="46" t="s">
        <v>2</v>
      </c>
      <c r="G27" s="46" t="s">
        <v>3</v>
      </c>
      <c r="H27" s="2" t="s">
        <v>91</v>
      </c>
      <c r="I27" s="46" t="s">
        <v>1</v>
      </c>
      <c r="J27" s="46" t="s">
        <v>2</v>
      </c>
      <c r="K27" s="46" t="s">
        <v>3</v>
      </c>
    </row>
    <row r="28" spans="1:11">
      <c r="B28" s="156">
        <v>1</v>
      </c>
      <c r="C28" s="157"/>
      <c r="D28" s="46">
        <v>2</v>
      </c>
      <c r="E28" s="46">
        <v>3</v>
      </c>
      <c r="F28" s="46">
        <v>4</v>
      </c>
      <c r="G28" s="46">
        <v>5</v>
      </c>
      <c r="H28" s="46">
        <v>6</v>
      </c>
      <c r="I28" s="46">
        <v>7</v>
      </c>
      <c r="J28" s="46">
        <v>8</v>
      </c>
      <c r="K28" s="46">
        <v>9</v>
      </c>
    </row>
    <row r="29" spans="1:11" ht="17.399999999999999" customHeight="1">
      <c r="A29" s="123" t="s">
        <v>55</v>
      </c>
      <c r="B29" s="3" t="s">
        <v>201</v>
      </c>
      <c r="C29" s="46" t="s">
        <v>71</v>
      </c>
      <c r="D29" s="206">
        <f>D30+D34+D37+D40</f>
        <v>0</v>
      </c>
      <c r="E29" s="206">
        <f>E30+E34+E37+E40</f>
        <v>0</v>
      </c>
      <c r="F29" s="206">
        <f t="shared" ref="F29" si="10">F30+F34+F37+F40</f>
        <v>0</v>
      </c>
      <c r="G29" s="206">
        <f t="shared" ref="G29" si="11">G30+G34+G37+G40</f>
        <v>0</v>
      </c>
      <c r="H29" s="206">
        <f>H30+H34+H37+H40</f>
        <v>0</v>
      </c>
      <c r="I29" s="206">
        <f t="shared" ref="I29" si="12">I30+I34+I37+I40</f>
        <v>0</v>
      </c>
      <c r="J29" s="206">
        <f t="shared" ref="J29" si="13">J30+J34+J37+J40</f>
        <v>0</v>
      </c>
      <c r="K29" s="206">
        <f t="shared" ref="K29" si="14">K30+K34+K37+K40</f>
        <v>0</v>
      </c>
    </row>
    <row r="30" spans="1:11" ht="17.399999999999999" customHeight="1">
      <c r="A30" s="123" t="s">
        <v>63</v>
      </c>
      <c r="B30" s="11" t="s">
        <v>197</v>
      </c>
      <c r="C30" s="10" t="s">
        <v>55</v>
      </c>
      <c r="D30" s="210">
        <f>D31+D32+D33</f>
        <v>0</v>
      </c>
      <c r="E30" s="211">
        <f>E31+E32+E33</f>
        <v>0</v>
      </c>
      <c r="F30" s="211">
        <f t="shared" ref="F30" si="15">F31+F32+F33</f>
        <v>0</v>
      </c>
      <c r="G30" s="211">
        <f>G31+G32+G33</f>
        <v>0</v>
      </c>
      <c r="H30" s="210">
        <f>H31+H32+H33</f>
        <v>0</v>
      </c>
      <c r="I30" s="211">
        <f>I31+I32+I33</f>
        <v>0</v>
      </c>
      <c r="J30" s="211">
        <f>J31+J32+J33</f>
        <v>0</v>
      </c>
      <c r="K30" s="211">
        <f t="shared" ref="K30" si="16">K31+K32+K33</f>
        <v>0</v>
      </c>
    </row>
    <row r="31" spans="1:11" ht="17.399999999999999" customHeight="1">
      <c r="A31" s="123" t="s">
        <v>69</v>
      </c>
      <c r="B31" s="12" t="s">
        <v>191</v>
      </c>
      <c r="C31" s="10" t="s">
        <v>56</v>
      </c>
      <c r="D31" s="212">
        <f>SUM(E31:G31)</f>
        <v>0</v>
      </c>
      <c r="E31" s="213"/>
      <c r="F31" s="213"/>
      <c r="G31" s="214"/>
      <c r="H31" s="212">
        <f>SUM(I31:K31)</f>
        <v>0</v>
      </c>
      <c r="I31" s="214"/>
      <c r="J31" s="214"/>
      <c r="K31" s="214"/>
    </row>
    <row r="32" spans="1:11" ht="17.399999999999999" customHeight="1">
      <c r="A32" s="123" t="s">
        <v>70</v>
      </c>
      <c r="B32" s="12" t="s">
        <v>192</v>
      </c>
      <c r="C32" s="10" t="s">
        <v>57</v>
      </c>
      <c r="D32" s="212">
        <f t="shared" ref="D32:D40" si="17">SUM(E32:G32)</f>
        <v>0</v>
      </c>
      <c r="E32" s="213"/>
      <c r="F32" s="213"/>
      <c r="G32" s="214"/>
      <c r="H32" s="212">
        <f t="shared" ref="H32:H40" si="18">SUM(I32:K32)</f>
        <v>0</v>
      </c>
      <c r="I32" s="214"/>
      <c r="J32" s="214"/>
      <c r="K32" s="214"/>
    </row>
    <row r="33" spans="1:11" ht="17.399999999999999" customHeight="1">
      <c r="A33" s="123" t="s">
        <v>389</v>
      </c>
      <c r="B33" s="12" t="s">
        <v>198</v>
      </c>
      <c r="C33" s="10" t="s">
        <v>58</v>
      </c>
      <c r="D33" s="212">
        <f t="shared" si="17"/>
        <v>0</v>
      </c>
      <c r="E33" s="213"/>
      <c r="F33" s="213"/>
      <c r="G33" s="214"/>
      <c r="H33" s="212">
        <f t="shared" si="18"/>
        <v>0</v>
      </c>
      <c r="I33" s="214"/>
      <c r="J33" s="214"/>
      <c r="K33" s="214"/>
    </row>
    <row r="34" spans="1:11" ht="31.2">
      <c r="A34" s="123" t="s">
        <v>390</v>
      </c>
      <c r="B34" s="13" t="s">
        <v>199</v>
      </c>
      <c r="C34" s="10" t="s">
        <v>63</v>
      </c>
      <c r="D34" s="212">
        <f t="shared" si="17"/>
        <v>0</v>
      </c>
      <c r="E34" s="211">
        <f>E35+E36</f>
        <v>0</v>
      </c>
      <c r="F34" s="211">
        <f t="shared" ref="F34" si="19">F35+F36</f>
        <v>0</v>
      </c>
      <c r="G34" s="211">
        <f t="shared" ref="G34" si="20">G35+G36</f>
        <v>0</v>
      </c>
      <c r="H34" s="212">
        <f>SUM(I34:K34)</f>
        <v>0</v>
      </c>
      <c r="I34" s="211">
        <f t="shared" ref="I34" si="21">I35+I36</f>
        <v>0</v>
      </c>
      <c r="J34" s="211">
        <f t="shared" ref="J34" si="22">J35+J36</f>
        <v>0</v>
      </c>
      <c r="K34" s="211">
        <f t="shared" ref="K34" si="23">K35+K36</f>
        <v>0</v>
      </c>
    </row>
    <row r="35" spans="1:11" ht="17.399999999999999" customHeight="1">
      <c r="A35" s="123" t="s">
        <v>391</v>
      </c>
      <c r="B35" s="14" t="s">
        <v>193</v>
      </c>
      <c r="C35" s="10" t="s">
        <v>64</v>
      </c>
      <c r="D35" s="212">
        <f t="shared" si="17"/>
        <v>0</v>
      </c>
      <c r="E35" s="213"/>
      <c r="F35" s="213"/>
      <c r="G35" s="214"/>
      <c r="H35" s="212">
        <f t="shared" si="18"/>
        <v>0</v>
      </c>
      <c r="I35" s="214"/>
      <c r="J35" s="214"/>
      <c r="K35" s="214"/>
    </row>
    <row r="36" spans="1:11" ht="17.399999999999999" customHeight="1">
      <c r="A36" s="123" t="s">
        <v>392</v>
      </c>
      <c r="B36" s="15" t="s">
        <v>194</v>
      </c>
      <c r="C36" s="10" t="s">
        <v>65</v>
      </c>
      <c r="D36" s="212">
        <f t="shared" si="17"/>
        <v>0</v>
      </c>
      <c r="E36" s="213"/>
      <c r="F36" s="213"/>
      <c r="G36" s="214"/>
      <c r="H36" s="212">
        <f t="shared" si="18"/>
        <v>0</v>
      </c>
      <c r="I36" s="214"/>
      <c r="J36" s="214"/>
      <c r="K36" s="214"/>
    </row>
    <row r="37" spans="1:11" ht="17.399999999999999" customHeight="1">
      <c r="A37" s="123" t="s">
        <v>393</v>
      </c>
      <c r="B37" s="16" t="s">
        <v>200</v>
      </c>
      <c r="C37" s="10" t="s">
        <v>69</v>
      </c>
      <c r="D37" s="212">
        <f t="shared" si="17"/>
        <v>0</v>
      </c>
      <c r="E37" s="211">
        <f>E38+E39</f>
        <v>0</v>
      </c>
      <c r="F37" s="211">
        <f t="shared" ref="F37" si="24">F38+F39</f>
        <v>0</v>
      </c>
      <c r="G37" s="211">
        <f t="shared" ref="G37" si="25">G38+G39</f>
        <v>0</v>
      </c>
      <c r="H37" s="212">
        <f>SUM(I37:K37)</f>
        <v>0</v>
      </c>
      <c r="I37" s="211">
        <f t="shared" ref="I37" si="26">I38+I39</f>
        <v>0</v>
      </c>
      <c r="J37" s="211">
        <f t="shared" ref="J37" si="27">J38+J39</f>
        <v>0</v>
      </c>
      <c r="K37" s="211">
        <f t="shared" ref="K37" si="28">K38+K39</f>
        <v>0</v>
      </c>
    </row>
    <row r="38" spans="1:11" ht="17.399999999999999" customHeight="1">
      <c r="A38" s="123" t="s">
        <v>411</v>
      </c>
      <c r="B38" s="17" t="s">
        <v>195</v>
      </c>
      <c r="C38" s="10" t="s">
        <v>175</v>
      </c>
      <c r="D38" s="212">
        <f t="shared" si="17"/>
        <v>0</v>
      </c>
      <c r="E38" s="213"/>
      <c r="F38" s="213"/>
      <c r="G38" s="214"/>
      <c r="H38" s="212">
        <f t="shared" si="18"/>
        <v>0</v>
      </c>
      <c r="I38" s="214"/>
      <c r="J38" s="214"/>
      <c r="K38" s="214"/>
    </row>
    <row r="39" spans="1:11" ht="17.399999999999999" customHeight="1">
      <c r="A39" s="123" t="s">
        <v>409</v>
      </c>
      <c r="B39" s="17" t="s">
        <v>196</v>
      </c>
      <c r="C39" s="10" t="s">
        <v>176</v>
      </c>
      <c r="D39" s="212">
        <f t="shared" si="17"/>
        <v>0</v>
      </c>
      <c r="E39" s="213"/>
      <c r="F39" s="213"/>
      <c r="G39" s="214"/>
      <c r="H39" s="212">
        <f>SUM(I39:K39)</f>
        <v>0</v>
      </c>
      <c r="I39" s="214"/>
      <c r="J39" s="214"/>
      <c r="K39" s="214"/>
    </row>
    <row r="40" spans="1:11" ht="17.399999999999999" customHeight="1">
      <c r="A40" s="123" t="s">
        <v>412</v>
      </c>
      <c r="B40" s="16" t="s">
        <v>184</v>
      </c>
      <c r="C40" s="10" t="s">
        <v>70</v>
      </c>
      <c r="D40" s="212">
        <f t="shared" si="17"/>
        <v>0</v>
      </c>
      <c r="E40" s="213"/>
      <c r="F40" s="213"/>
      <c r="G40" s="214"/>
      <c r="H40" s="212">
        <f t="shared" si="18"/>
        <v>0</v>
      </c>
      <c r="I40" s="214"/>
      <c r="J40" s="214"/>
      <c r="K40" s="214"/>
    </row>
  </sheetData>
  <sheetProtection algorithmName="SHA-512" hashValue="/ti8YGYN1Hxe8ZLMlzwMXoy3Vqja+Lv5l16FOh4SLGjZvrfq20Jmp3DALGcUj6v8ab9RC2iTmt+J1KzuSaEScQ==" saltValue="JPjg01EJGrVbzLlkSMMGrw==" spinCount="100000" sheet="1" objects="1" scenarios="1"/>
  <mergeCells count="15">
    <mergeCell ref="B8:C8"/>
    <mergeCell ref="B6:C7"/>
    <mergeCell ref="B5:K5"/>
    <mergeCell ref="B4:K4"/>
    <mergeCell ref="B2:K2"/>
    <mergeCell ref="B3:K3"/>
    <mergeCell ref="D6:G6"/>
    <mergeCell ref="H6:K6"/>
    <mergeCell ref="B28:C28"/>
    <mergeCell ref="B23:K23"/>
    <mergeCell ref="B24:K24"/>
    <mergeCell ref="B25:K25"/>
    <mergeCell ref="B26:C27"/>
    <mergeCell ref="D26:G26"/>
    <mergeCell ref="H26:K26"/>
  </mergeCells>
  <phoneticPr fontId="52" type="noConversion"/>
  <conditionalFormatting sqref="D6:G6">
    <cfRule type="expression" dxfId="7" priority="2">
      <formula>#REF!="PLEASE CORRECT ALL COMPARISON RULES"</formula>
    </cfRule>
  </conditionalFormatting>
  <conditionalFormatting sqref="D26:G26">
    <cfRule type="expression" dxfId="6" priority="1">
      <formula>#REF!="PLEASE CORRECT ALL COMPARISON RULES"</formula>
    </cfRule>
  </conditionalFormatting>
  <pageMargins left="0.7" right="0.7" top="0.75" bottom="0.75" header="0.3" footer="0.3"/>
  <ignoredErrors>
    <ignoredError sqref="D11 D12:D19 H11:H19 H32:H33 D31:D40 H40 H35:H38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F6CC0-A50F-4F95-A0A6-3153A5EDB6E2}">
  <dimension ref="A1:M31"/>
  <sheetViews>
    <sheetView showGridLines="0" topLeftCell="A18" zoomScaleNormal="100" workbookViewId="0">
      <selection activeCell="D25" sqref="D25:G27"/>
    </sheetView>
  </sheetViews>
  <sheetFormatPr defaultColWidth="9.109375" defaultRowHeight="15.6"/>
  <cols>
    <col min="1" max="1" width="9.109375" style="117"/>
    <col min="2" max="2" width="56.5546875" style="39" customWidth="1"/>
    <col min="3" max="3" width="11.109375" style="39" customWidth="1"/>
    <col min="4" max="4" width="18.88671875" style="40" customWidth="1"/>
    <col min="5" max="5" width="19" style="40" customWidth="1"/>
    <col min="6" max="6" width="18.6640625" style="40" customWidth="1"/>
    <col min="7" max="7" width="17.6640625" style="40" customWidth="1"/>
    <col min="8" max="8" width="16.88671875" style="40" customWidth="1"/>
    <col min="9" max="9" width="16.109375" style="40" customWidth="1"/>
    <col min="10" max="11" width="16" style="40" customWidth="1"/>
    <col min="12" max="12" width="23.6640625" style="40" customWidth="1"/>
    <col min="13" max="13" width="4.6640625" style="39" customWidth="1"/>
    <col min="14" max="16384" width="9.109375" style="39"/>
  </cols>
  <sheetData>
    <row r="1" spans="1:13" s="52" customFormat="1">
      <c r="A1" s="112"/>
      <c r="D1" s="53"/>
      <c r="E1" s="53"/>
      <c r="F1" s="53"/>
      <c r="G1" s="53"/>
      <c r="H1" s="53"/>
      <c r="I1" s="53"/>
      <c r="J1" s="53"/>
      <c r="K1" s="53"/>
      <c r="L1" s="53"/>
    </row>
    <row r="2" spans="1:13" s="54" customFormat="1">
      <c r="A2" s="113"/>
      <c r="B2" s="155" t="s">
        <v>330</v>
      </c>
      <c r="C2" s="155"/>
      <c r="D2" s="155"/>
      <c r="E2" s="155"/>
      <c r="F2" s="155"/>
      <c r="G2" s="155"/>
      <c r="H2" s="20"/>
      <c r="I2" s="20"/>
      <c r="J2" s="20"/>
      <c r="K2" s="20"/>
      <c r="L2" s="20"/>
    </row>
    <row r="3" spans="1:13" s="40" customFormat="1" ht="22.5" customHeight="1">
      <c r="A3" s="114"/>
      <c r="B3" s="154" t="s">
        <v>324</v>
      </c>
      <c r="C3" s="154"/>
      <c r="D3" s="154"/>
      <c r="E3" s="154"/>
      <c r="F3" s="154"/>
      <c r="G3" s="154"/>
      <c r="M3" s="39"/>
    </row>
    <row r="4" spans="1:13" s="40" customFormat="1">
      <c r="A4" s="114"/>
      <c r="B4" s="155" t="s">
        <v>260</v>
      </c>
      <c r="C4" s="155"/>
      <c r="D4" s="155"/>
      <c r="E4" s="155"/>
      <c r="F4" s="155"/>
      <c r="G4" s="155"/>
      <c r="M4" s="39"/>
    </row>
    <row r="5" spans="1:13" s="40" customFormat="1">
      <c r="A5" s="115"/>
      <c r="B5" s="39"/>
      <c r="C5" s="39"/>
      <c r="G5" s="32" t="s">
        <v>0</v>
      </c>
      <c r="M5" s="39"/>
    </row>
    <row r="6" spans="1:13" s="40" customFormat="1" ht="22.5" customHeight="1">
      <c r="A6" s="115"/>
      <c r="B6" s="173" t="s">
        <v>203</v>
      </c>
      <c r="C6" s="158"/>
      <c r="D6" s="144" t="s">
        <v>92</v>
      </c>
      <c r="E6" s="144"/>
      <c r="F6" s="144"/>
      <c r="G6" s="144"/>
      <c r="M6" s="39"/>
    </row>
    <row r="7" spans="1:13" s="40" customFormat="1">
      <c r="A7" s="115"/>
      <c r="B7" s="158"/>
      <c r="C7" s="158"/>
      <c r="D7" s="1" t="s">
        <v>91</v>
      </c>
      <c r="E7" s="46" t="s">
        <v>1</v>
      </c>
      <c r="F7" s="46" t="s">
        <v>2</v>
      </c>
      <c r="G7" s="46" t="s">
        <v>3</v>
      </c>
      <c r="M7" s="39"/>
    </row>
    <row r="8" spans="1:13" s="40" customFormat="1">
      <c r="A8" s="115"/>
      <c r="B8" s="156">
        <v>1</v>
      </c>
      <c r="C8" s="157"/>
      <c r="D8" s="46">
        <v>2</v>
      </c>
      <c r="E8" s="46">
        <v>3</v>
      </c>
      <c r="F8" s="46">
        <v>4</v>
      </c>
      <c r="G8" s="46">
        <v>5</v>
      </c>
      <c r="M8" s="39"/>
    </row>
    <row r="9" spans="1:13" s="40" customFormat="1">
      <c r="A9" s="115" t="s">
        <v>23</v>
      </c>
      <c r="B9" s="41" t="s">
        <v>203</v>
      </c>
      <c r="C9" s="46" t="s">
        <v>23</v>
      </c>
      <c r="D9" s="119"/>
      <c r="E9" s="120"/>
      <c r="F9" s="120"/>
      <c r="G9" s="121"/>
      <c r="M9" s="39"/>
    </row>
    <row r="10" spans="1:13" s="40" customFormat="1">
      <c r="A10" s="115" t="s">
        <v>39</v>
      </c>
      <c r="B10" s="42" t="s">
        <v>328</v>
      </c>
      <c r="C10" s="43" t="s">
        <v>32</v>
      </c>
      <c r="D10" s="43">
        <f t="shared" ref="D10:D15" si="0">SUM(E10:G10)</f>
        <v>0</v>
      </c>
      <c r="E10" s="71"/>
      <c r="F10" s="71"/>
      <c r="G10" s="71"/>
      <c r="M10" s="39"/>
    </row>
    <row r="11" spans="1:13" s="40" customFormat="1">
      <c r="A11" s="115" t="s">
        <v>52</v>
      </c>
      <c r="B11" s="42" t="s">
        <v>267</v>
      </c>
      <c r="C11" s="43" t="s">
        <v>33</v>
      </c>
      <c r="D11" s="43">
        <f t="shared" si="0"/>
        <v>0</v>
      </c>
      <c r="E11" s="71"/>
      <c r="F11" s="71"/>
      <c r="G11" s="71"/>
      <c r="M11" s="39"/>
    </row>
    <row r="12" spans="1:13" s="40" customFormat="1">
      <c r="A12" s="115" t="s">
        <v>53</v>
      </c>
      <c r="B12" s="42" t="s">
        <v>359</v>
      </c>
      <c r="C12" s="43" t="s">
        <v>34</v>
      </c>
      <c r="D12" s="43">
        <f t="shared" si="0"/>
        <v>0</v>
      </c>
      <c r="E12" s="71"/>
      <c r="F12" s="71"/>
      <c r="G12" s="71"/>
      <c r="M12" s="39"/>
    </row>
    <row r="13" spans="1:13" s="40" customFormat="1">
      <c r="A13" s="115" t="s">
        <v>388</v>
      </c>
      <c r="B13" s="42" t="s">
        <v>272</v>
      </c>
      <c r="C13" s="43" t="s">
        <v>35</v>
      </c>
      <c r="D13" s="43">
        <f t="shared" si="0"/>
        <v>0</v>
      </c>
      <c r="E13" s="43">
        <f>-(F13+G13)</f>
        <v>0</v>
      </c>
      <c r="F13" s="71"/>
      <c r="G13" s="71"/>
      <c r="M13" s="39"/>
    </row>
    <row r="14" spans="1:13" s="40" customFormat="1">
      <c r="A14" s="115" t="s">
        <v>398</v>
      </c>
      <c r="B14" s="42" t="s">
        <v>273</v>
      </c>
      <c r="C14" s="43" t="s">
        <v>36</v>
      </c>
      <c r="D14" s="43">
        <f t="shared" si="0"/>
        <v>0</v>
      </c>
      <c r="E14" s="71"/>
      <c r="F14" s="43">
        <f>-(E14+G14)</f>
        <v>0</v>
      </c>
      <c r="G14" s="71"/>
      <c r="M14" s="39"/>
    </row>
    <row r="15" spans="1:13" s="40" customFormat="1">
      <c r="A15" s="115" t="s">
        <v>399</v>
      </c>
      <c r="B15" s="42" t="s">
        <v>274</v>
      </c>
      <c r="C15" s="43" t="s">
        <v>37</v>
      </c>
      <c r="D15" s="43">
        <f t="shared" si="0"/>
        <v>0</v>
      </c>
      <c r="E15" s="71"/>
      <c r="F15" s="71"/>
      <c r="G15" s="43">
        <f>-(E15+F15)</f>
        <v>0</v>
      </c>
      <c r="M15" s="39"/>
    </row>
    <row r="16" spans="1:13" s="40" customFormat="1" ht="18" customHeight="1">
      <c r="A16" s="115" t="s">
        <v>400</v>
      </c>
      <c r="B16" s="42" t="s">
        <v>329</v>
      </c>
      <c r="C16" s="43" t="s">
        <v>38</v>
      </c>
      <c r="D16" s="46">
        <f>D10+D11-D12+D13+D14+D15</f>
        <v>0</v>
      </c>
      <c r="E16" s="46">
        <f>E10+E11-E12+E13+E14+E15</f>
        <v>0</v>
      </c>
      <c r="F16" s="46">
        <f>F10+F11-F12+F13+F14+F15</f>
        <v>0</v>
      </c>
      <c r="G16" s="46">
        <f>G10+G11-G12+G13+G14+G15</f>
        <v>0</v>
      </c>
      <c r="M16" s="39"/>
    </row>
    <row r="17" spans="1:13" s="59" customFormat="1">
      <c r="A17" s="116"/>
      <c r="B17" s="56"/>
      <c r="C17" s="57"/>
      <c r="D17" s="58"/>
      <c r="E17" s="57"/>
      <c r="F17" s="57"/>
      <c r="G17" s="57"/>
      <c r="M17" s="54"/>
    </row>
    <row r="18" spans="1:13">
      <c r="A18" s="112"/>
    </row>
    <row r="19" spans="1:13" s="40" customFormat="1" ht="20.25" customHeight="1">
      <c r="A19" s="114"/>
      <c r="B19" s="154" t="s">
        <v>358</v>
      </c>
      <c r="C19" s="154"/>
      <c r="D19" s="154"/>
      <c r="E19" s="154"/>
      <c r="F19" s="154"/>
      <c r="G19" s="154"/>
      <c r="M19" s="39"/>
    </row>
    <row r="20" spans="1:13" s="40" customFormat="1">
      <c r="A20" s="114"/>
      <c r="B20" s="155" t="s">
        <v>260</v>
      </c>
      <c r="C20" s="155"/>
      <c r="D20" s="155"/>
      <c r="E20" s="155"/>
      <c r="F20" s="155"/>
      <c r="G20" s="155"/>
      <c r="M20" s="39"/>
    </row>
    <row r="21" spans="1:13" s="40" customFormat="1">
      <c r="A21" s="115"/>
      <c r="C21" s="39"/>
      <c r="G21" s="32" t="s">
        <v>0</v>
      </c>
      <c r="M21" s="39"/>
    </row>
    <row r="22" spans="1:13" ht="22.5" customHeight="1">
      <c r="B22" s="173" t="s">
        <v>203</v>
      </c>
      <c r="C22" s="158"/>
      <c r="D22" s="144" t="s">
        <v>205</v>
      </c>
      <c r="E22" s="144"/>
      <c r="F22" s="144"/>
      <c r="G22" s="144"/>
    </row>
    <row r="23" spans="1:13">
      <c r="B23" s="158"/>
      <c r="C23" s="158"/>
      <c r="D23" s="1" t="s">
        <v>91</v>
      </c>
      <c r="E23" s="46" t="s">
        <v>1</v>
      </c>
      <c r="F23" s="46" t="s">
        <v>2</v>
      </c>
      <c r="G23" s="46" t="s">
        <v>3</v>
      </c>
    </row>
    <row r="24" spans="1:13">
      <c r="B24" s="156">
        <v>1</v>
      </c>
      <c r="C24" s="157"/>
      <c r="D24" s="46">
        <v>2</v>
      </c>
      <c r="E24" s="46">
        <v>3</v>
      </c>
      <c r="F24" s="46">
        <v>4</v>
      </c>
      <c r="G24" s="46">
        <v>5</v>
      </c>
    </row>
    <row r="25" spans="1:13">
      <c r="A25" s="117" t="s">
        <v>55</v>
      </c>
      <c r="B25" s="41" t="s">
        <v>203</v>
      </c>
      <c r="C25" s="46" t="s">
        <v>39</v>
      </c>
      <c r="D25" s="124"/>
      <c r="E25" s="125"/>
      <c r="F25" s="125"/>
      <c r="G25" s="126"/>
    </row>
    <row r="26" spans="1:13">
      <c r="A26" s="117" t="s">
        <v>63</v>
      </c>
      <c r="B26" s="42" t="s">
        <v>328</v>
      </c>
      <c r="C26" s="43" t="s">
        <v>40</v>
      </c>
      <c r="D26" s="189">
        <f t="shared" ref="D26:D27" si="1">SUM(E26:G26)</f>
        <v>0</v>
      </c>
      <c r="E26" s="186"/>
      <c r="F26" s="186"/>
      <c r="G26" s="186"/>
    </row>
    <row r="27" spans="1:13" s="40" customFormat="1">
      <c r="A27" s="117" t="s">
        <v>69</v>
      </c>
      <c r="B27" s="42" t="s">
        <v>329</v>
      </c>
      <c r="C27" s="43" t="s">
        <v>41</v>
      </c>
      <c r="D27" s="189">
        <f t="shared" si="1"/>
        <v>0</v>
      </c>
      <c r="E27" s="186"/>
      <c r="F27" s="186"/>
      <c r="G27" s="186"/>
      <c r="M27" s="39"/>
    </row>
    <row r="28" spans="1:13" s="40" customFormat="1" ht="9.75" customHeight="1">
      <c r="A28" s="115"/>
      <c r="B28" s="39"/>
      <c r="C28" s="39"/>
      <c r="M28" s="39"/>
    </row>
    <row r="29" spans="1:13" s="40" customFormat="1" ht="12" customHeight="1">
      <c r="A29" s="115"/>
      <c r="B29" s="39"/>
      <c r="C29" s="39"/>
      <c r="M29" s="39"/>
    </row>
    <row r="30" spans="1:13" s="40" customFormat="1">
      <c r="A30" s="115" t="s">
        <v>72</v>
      </c>
      <c r="B30" s="31" t="s">
        <v>323</v>
      </c>
      <c r="C30" s="39"/>
      <c r="M30" s="39"/>
    </row>
    <row r="31" spans="1:13" ht="16.2">
      <c r="A31" s="117" t="s">
        <v>80</v>
      </c>
      <c r="B31" s="38" t="s">
        <v>342</v>
      </c>
    </row>
  </sheetData>
  <sheetProtection algorithmName="SHA-512" hashValue="snN8VulLrghuupDkOmchZrYUGIr3sPH243goVpx/DwR9wqsNOiPWoau/S9iXWs+lBMjtBOVttzKE8o5tJGbTLA==" saltValue="KX0XKkHfMnzQlQ8tfHli7g==" spinCount="100000" sheet="1" objects="1" scenarios="1"/>
  <mergeCells count="13">
    <mergeCell ref="B2:G2"/>
    <mergeCell ref="B3:G3"/>
    <mergeCell ref="B4:G4"/>
    <mergeCell ref="B6:B7"/>
    <mergeCell ref="C6:C7"/>
    <mergeCell ref="D6:G6"/>
    <mergeCell ref="B24:C24"/>
    <mergeCell ref="B8:C8"/>
    <mergeCell ref="B19:G19"/>
    <mergeCell ref="B20:G20"/>
    <mergeCell ref="B22:B23"/>
    <mergeCell ref="C22:C23"/>
    <mergeCell ref="D22:G22"/>
  </mergeCells>
  <phoneticPr fontId="52" type="noConversion"/>
  <conditionalFormatting sqref="D6:G6">
    <cfRule type="expression" dxfId="5" priority="2">
      <formula>#REF!="PLEASE CORRECT ALL COMPARISON RULES"</formula>
    </cfRule>
  </conditionalFormatting>
  <conditionalFormatting sqref="D22:G22">
    <cfRule type="expression" dxfId="4" priority="1">
      <formula>#REF!="PLEASE CORRECT ALL COMPARISON RULES"</formula>
    </cfRule>
  </conditionalFormatting>
  <pageMargins left="0.7" right="0.7" top="0.75" bottom="0.75" header="0.3" footer="0.3"/>
  <pageSetup paperSize="9" scale="5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E6379-58C3-414D-90E7-544CD6DD0CCB}">
  <dimension ref="A2:L56"/>
  <sheetViews>
    <sheetView showGridLines="0" workbookViewId="0">
      <selection activeCell="D37" sqref="D37:K56"/>
    </sheetView>
  </sheetViews>
  <sheetFormatPr defaultColWidth="9.109375" defaultRowHeight="15.6"/>
  <cols>
    <col min="1" max="1" width="6.109375" style="123" customWidth="1"/>
    <col min="2" max="2" width="43.33203125" style="27" customWidth="1"/>
    <col min="3" max="3" width="10.6640625" style="18" customWidth="1"/>
    <col min="4" max="11" width="16.88671875" style="18" customWidth="1"/>
    <col min="12" max="16384" width="9.109375" style="18"/>
  </cols>
  <sheetData>
    <row r="2" spans="1:12">
      <c r="B2" s="171" t="s">
        <v>246</v>
      </c>
      <c r="C2" s="171"/>
      <c r="D2" s="171"/>
      <c r="E2" s="171"/>
      <c r="F2" s="171"/>
      <c r="G2" s="171"/>
      <c r="H2" s="171"/>
      <c r="I2" s="171"/>
      <c r="J2" s="171"/>
      <c r="K2" s="171"/>
      <c r="L2" s="8"/>
    </row>
    <row r="3" spans="1:12">
      <c r="B3" s="179" t="s">
        <v>360</v>
      </c>
      <c r="C3" s="179"/>
      <c r="D3" s="179"/>
      <c r="E3" s="179"/>
      <c r="F3" s="179"/>
      <c r="G3" s="179"/>
      <c r="H3" s="179"/>
      <c r="I3" s="179"/>
      <c r="J3" s="179"/>
      <c r="K3" s="179"/>
      <c r="L3" s="21"/>
    </row>
    <row r="4" spans="1:12">
      <c r="B4" s="179" t="s">
        <v>261</v>
      </c>
      <c r="C4" s="179"/>
      <c r="D4" s="179"/>
      <c r="E4" s="179"/>
      <c r="F4" s="179"/>
      <c r="G4" s="179"/>
      <c r="H4" s="179"/>
      <c r="I4" s="179"/>
      <c r="J4" s="179"/>
      <c r="K4" s="179"/>
      <c r="L4" s="21"/>
    </row>
    <row r="5" spans="1:12">
      <c r="B5" s="180" t="s">
        <v>0</v>
      </c>
      <c r="C5" s="180"/>
      <c r="D5" s="180"/>
      <c r="E5" s="180"/>
      <c r="F5" s="180"/>
      <c r="G5" s="180"/>
      <c r="H5" s="180"/>
      <c r="I5" s="180"/>
      <c r="J5" s="180"/>
      <c r="K5" s="180"/>
      <c r="L5" s="22"/>
    </row>
    <row r="6" spans="1:12">
      <c r="B6" s="181" t="s">
        <v>247</v>
      </c>
      <c r="C6" s="181"/>
      <c r="D6" s="144" t="s">
        <v>92</v>
      </c>
      <c r="E6" s="144"/>
      <c r="F6" s="144"/>
      <c r="G6" s="144"/>
      <c r="H6" s="182" t="s">
        <v>205</v>
      </c>
      <c r="I6" s="182"/>
      <c r="J6" s="182"/>
      <c r="K6" s="182"/>
    </row>
    <row r="7" spans="1:12">
      <c r="B7" s="181"/>
      <c r="C7" s="181"/>
      <c r="D7" s="23" t="s">
        <v>91</v>
      </c>
      <c r="E7" s="47" t="s">
        <v>1</v>
      </c>
      <c r="F7" s="47" t="s">
        <v>2</v>
      </c>
      <c r="G7" s="47" t="s">
        <v>3</v>
      </c>
      <c r="H7" s="24" t="s">
        <v>91</v>
      </c>
      <c r="I7" s="47" t="s">
        <v>1</v>
      </c>
      <c r="J7" s="47" t="s">
        <v>2</v>
      </c>
      <c r="K7" s="47" t="s">
        <v>3</v>
      </c>
    </row>
    <row r="8" spans="1:12">
      <c r="B8" s="183">
        <v>1</v>
      </c>
      <c r="C8" s="183"/>
      <c r="D8" s="47">
        <v>2</v>
      </c>
      <c r="E8" s="47">
        <v>3</v>
      </c>
      <c r="F8" s="47">
        <v>4</v>
      </c>
      <c r="G8" s="47">
        <v>5</v>
      </c>
      <c r="H8" s="47">
        <v>6</v>
      </c>
      <c r="I8" s="47">
        <v>7</v>
      </c>
      <c r="J8" s="47">
        <v>8</v>
      </c>
      <c r="K8" s="47">
        <v>9</v>
      </c>
    </row>
    <row r="9" spans="1:12" ht="31.2">
      <c r="A9" s="123" t="s">
        <v>23</v>
      </c>
      <c r="B9" s="3" t="s">
        <v>361</v>
      </c>
      <c r="C9" s="47" t="s">
        <v>23</v>
      </c>
      <c r="D9" s="215">
        <f>D10+D13+D16+D23+D26</f>
        <v>0</v>
      </c>
      <c r="E9" s="215">
        <f>E10+E13+E16+E23+E26</f>
        <v>0</v>
      </c>
      <c r="F9" s="215">
        <f>F10+F13+F16+F23+F26</f>
        <v>0</v>
      </c>
      <c r="G9" s="215">
        <f t="shared" ref="G9" si="0">G10+G13+G16+G23+G26</f>
        <v>0</v>
      </c>
      <c r="H9" s="215">
        <f>H10+H13+H16+H23+H26</f>
        <v>0</v>
      </c>
      <c r="I9" s="215">
        <f t="shared" ref="I9:J9" si="1">I10+I13+I16+I23+I26</f>
        <v>0</v>
      </c>
      <c r="J9" s="215">
        <f t="shared" si="1"/>
        <v>0</v>
      </c>
      <c r="K9" s="215">
        <f>K10+K13+K16+K23+K26</f>
        <v>0</v>
      </c>
    </row>
    <row r="10" spans="1:12">
      <c r="A10" s="123" t="s">
        <v>39</v>
      </c>
      <c r="B10" s="17" t="s">
        <v>206</v>
      </c>
      <c r="C10" s="10" t="s">
        <v>32</v>
      </c>
      <c r="D10" s="210">
        <f t="shared" ref="D10:J10" si="2">D11+D12</f>
        <v>0</v>
      </c>
      <c r="E10" s="211">
        <f t="shared" si="2"/>
        <v>0</v>
      </c>
      <c r="F10" s="211">
        <f t="shared" si="2"/>
        <v>0</v>
      </c>
      <c r="G10" s="211">
        <f t="shared" si="2"/>
        <v>0</v>
      </c>
      <c r="H10" s="210">
        <f t="shared" si="2"/>
        <v>0</v>
      </c>
      <c r="I10" s="211">
        <f t="shared" si="2"/>
        <v>0</v>
      </c>
      <c r="J10" s="211">
        <f t="shared" si="2"/>
        <v>0</v>
      </c>
      <c r="K10" s="211">
        <f t="shared" ref="K10" si="3">K11+K12</f>
        <v>0</v>
      </c>
    </row>
    <row r="11" spans="1:12">
      <c r="A11" s="123" t="s">
        <v>52</v>
      </c>
      <c r="B11" s="28" t="s">
        <v>207</v>
      </c>
      <c r="C11" s="10" t="s">
        <v>208</v>
      </c>
      <c r="D11" s="212">
        <f>SUM(E11:G11)</f>
        <v>0</v>
      </c>
      <c r="E11" s="213"/>
      <c r="F11" s="213"/>
      <c r="G11" s="214"/>
      <c r="H11" s="212">
        <f>SUM(I11:K11)</f>
        <v>0</v>
      </c>
      <c r="I11" s="214"/>
      <c r="J11" s="214"/>
      <c r="K11" s="214"/>
    </row>
    <row r="12" spans="1:12">
      <c r="A12" s="123" t="s">
        <v>53</v>
      </c>
      <c r="B12" s="28" t="s">
        <v>209</v>
      </c>
      <c r="C12" s="10" t="s">
        <v>210</v>
      </c>
      <c r="D12" s="212">
        <f t="shared" ref="D12:D28" si="4">SUM(E12:G12)</f>
        <v>0</v>
      </c>
      <c r="E12" s="213"/>
      <c r="F12" s="213"/>
      <c r="G12" s="214"/>
      <c r="H12" s="212">
        <f t="shared" ref="H12:H27" si="5">SUM(I12:K12)</f>
        <v>0</v>
      </c>
      <c r="I12" s="214"/>
      <c r="J12" s="214"/>
      <c r="K12" s="214"/>
    </row>
    <row r="13" spans="1:12" ht="31.2">
      <c r="A13" s="123" t="s">
        <v>388</v>
      </c>
      <c r="B13" s="17" t="s">
        <v>211</v>
      </c>
      <c r="C13" s="10" t="s">
        <v>33</v>
      </c>
      <c r="D13" s="212">
        <f>SUM(E13:G13)</f>
        <v>0</v>
      </c>
      <c r="E13" s="211">
        <f>E14+E15</f>
        <v>0</v>
      </c>
      <c r="F13" s="211">
        <f t="shared" ref="F13:K13" si="6">F14+F15</f>
        <v>0</v>
      </c>
      <c r="G13" s="211">
        <f t="shared" si="6"/>
        <v>0</v>
      </c>
      <c r="H13" s="212">
        <f>SUM(I13:K13)</f>
        <v>0</v>
      </c>
      <c r="I13" s="211">
        <f>I14+I15</f>
        <v>0</v>
      </c>
      <c r="J13" s="211">
        <f t="shared" si="6"/>
        <v>0</v>
      </c>
      <c r="K13" s="211">
        <f t="shared" si="6"/>
        <v>0</v>
      </c>
    </row>
    <row r="14" spans="1:12">
      <c r="A14" s="123" t="s">
        <v>398</v>
      </c>
      <c r="B14" s="25" t="s">
        <v>212</v>
      </c>
      <c r="C14" s="10" t="s">
        <v>213</v>
      </c>
      <c r="D14" s="212">
        <f t="shared" si="4"/>
        <v>0</v>
      </c>
      <c r="E14" s="213"/>
      <c r="F14" s="213"/>
      <c r="G14" s="214"/>
      <c r="H14" s="212">
        <f>SUM(I14:K14)</f>
        <v>0</v>
      </c>
      <c r="I14" s="214"/>
      <c r="J14" s="214"/>
      <c r="K14" s="214"/>
    </row>
    <row r="15" spans="1:12">
      <c r="A15" s="123" t="s">
        <v>399</v>
      </c>
      <c r="B15" s="26" t="s">
        <v>214</v>
      </c>
      <c r="C15" s="10" t="s">
        <v>215</v>
      </c>
      <c r="D15" s="212">
        <f t="shared" si="4"/>
        <v>0</v>
      </c>
      <c r="E15" s="213"/>
      <c r="F15" s="213"/>
      <c r="G15" s="214"/>
      <c r="H15" s="212">
        <f t="shared" si="5"/>
        <v>0</v>
      </c>
      <c r="I15" s="214"/>
      <c r="J15" s="214"/>
      <c r="K15" s="214"/>
    </row>
    <row r="16" spans="1:12" ht="31.2">
      <c r="A16" s="123" t="s">
        <v>400</v>
      </c>
      <c r="B16" s="17" t="s">
        <v>216</v>
      </c>
      <c r="C16" s="10" t="s">
        <v>34</v>
      </c>
      <c r="D16" s="212">
        <f t="shared" si="4"/>
        <v>0</v>
      </c>
      <c r="E16" s="211">
        <f t="shared" ref="E16:K16" si="7">E17+E20</f>
        <v>0</v>
      </c>
      <c r="F16" s="211">
        <f t="shared" si="7"/>
        <v>0</v>
      </c>
      <c r="G16" s="211">
        <f t="shared" si="7"/>
        <v>0</v>
      </c>
      <c r="H16" s="212">
        <f t="shared" si="5"/>
        <v>0</v>
      </c>
      <c r="I16" s="211">
        <f t="shared" si="7"/>
        <v>0</v>
      </c>
      <c r="J16" s="211">
        <f t="shared" si="7"/>
        <v>0</v>
      </c>
      <c r="K16" s="211">
        <f t="shared" si="7"/>
        <v>0</v>
      </c>
    </row>
    <row r="17" spans="1:11">
      <c r="A17" s="123" t="s">
        <v>401</v>
      </c>
      <c r="B17" s="28" t="s">
        <v>217</v>
      </c>
      <c r="C17" s="10" t="s">
        <v>150</v>
      </c>
      <c r="D17" s="212">
        <f t="shared" si="4"/>
        <v>0</v>
      </c>
      <c r="E17" s="211">
        <f>E18+E19</f>
        <v>0</v>
      </c>
      <c r="F17" s="211">
        <f t="shared" ref="F17:I17" si="8">F18+F19</f>
        <v>0</v>
      </c>
      <c r="G17" s="211">
        <f t="shared" si="8"/>
        <v>0</v>
      </c>
      <c r="H17" s="212">
        <f>SUM(I17:K17)</f>
        <v>0</v>
      </c>
      <c r="I17" s="211">
        <f t="shared" si="8"/>
        <v>0</v>
      </c>
      <c r="J17" s="211">
        <f>J18+J19</f>
        <v>0</v>
      </c>
      <c r="K17" s="211">
        <f>K18+K19</f>
        <v>0</v>
      </c>
    </row>
    <row r="18" spans="1:11">
      <c r="A18" s="123" t="s">
        <v>402</v>
      </c>
      <c r="B18" s="30" t="s">
        <v>207</v>
      </c>
      <c r="C18" s="10" t="s">
        <v>218</v>
      </c>
      <c r="D18" s="212">
        <f t="shared" si="4"/>
        <v>0</v>
      </c>
      <c r="E18" s="213"/>
      <c r="F18" s="213"/>
      <c r="G18" s="214"/>
      <c r="H18" s="212">
        <f t="shared" si="5"/>
        <v>0</v>
      </c>
      <c r="I18" s="214"/>
      <c r="J18" s="214"/>
      <c r="K18" s="214"/>
    </row>
    <row r="19" spans="1:11">
      <c r="A19" s="123" t="s">
        <v>394</v>
      </c>
      <c r="B19" s="30" t="s">
        <v>209</v>
      </c>
      <c r="C19" s="10" t="s">
        <v>219</v>
      </c>
      <c r="D19" s="212">
        <f t="shared" si="4"/>
        <v>0</v>
      </c>
      <c r="E19" s="213"/>
      <c r="F19" s="213"/>
      <c r="G19" s="214"/>
      <c r="H19" s="212">
        <f t="shared" si="5"/>
        <v>0</v>
      </c>
      <c r="I19" s="214"/>
      <c r="J19" s="214"/>
      <c r="K19" s="214"/>
    </row>
    <row r="20" spans="1:11" ht="31.2">
      <c r="A20" s="123" t="s">
        <v>403</v>
      </c>
      <c r="B20" s="28" t="s">
        <v>220</v>
      </c>
      <c r="C20" s="10" t="s">
        <v>151</v>
      </c>
      <c r="D20" s="212">
        <f t="shared" si="4"/>
        <v>0</v>
      </c>
      <c r="E20" s="211">
        <f>E21+E22</f>
        <v>0</v>
      </c>
      <c r="F20" s="211">
        <f t="shared" ref="F20:J20" si="9">F21+F22</f>
        <v>0</v>
      </c>
      <c r="G20" s="211">
        <f t="shared" si="9"/>
        <v>0</v>
      </c>
      <c r="H20" s="212">
        <f t="shared" si="5"/>
        <v>0</v>
      </c>
      <c r="I20" s="211">
        <f t="shared" si="9"/>
        <v>0</v>
      </c>
      <c r="J20" s="211">
        <f t="shared" si="9"/>
        <v>0</v>
      </c>
      <c r="K20" s="211">
        <f>K21+K22</f>
        <v>0</v>
      </c>
    </row>
    <row r="21" spans="1:11">
      <c r="A21" s="123" t="s">
        <v>404</v>
      </c>
      <c r="B21" s="29" t="s">
        <v>221</v>
      </c>
      <c r="C21" s="10" t="s">
        <v>222</v>
      </c>
      <c r="D21" s="212">
        <f t="shared" si="4"/>
        <v>0</v>
      </c>
      <c r="E21" s="213"/>
      <c r="F21" s="213"/>
      <c r="G21" s="214"/>
      <c r="H21" s="212">
        <f t="shared" si="5"/>
        <v>0</v>
      </c>
      <c r="I21" s="214"/>
      <c r="J21" s="214"/>
      <c r="K21" s="214"/>
    </row>
    <row r="22" spans="1:11" ht="31.2">
      <c r="A22" s="123" t="s">
        <v>405</v>
      </c>
      <c r="B22" s="29" t="s">
        <v>223</v>
      </c>
      <c r="C22" s="10" t="s">
        <v>224</v>
      </c>
      <c r="D22" s="212">
        <f t="shared" si="4"/>
        <v>0</v>
      </c>
      <c r="E22" s="213"/>
      <c r="F22" s="213"/>
      <c r="G22" s="214"/>
      <c r="H22" s="212">
        <f t="shared" si="5"/>
        <v>0</v>
      </c>
      <c r="I22" s="214"/>
      <c r="J22" s="214"/>
      <c r="K22" s="214"/>
    </row>
    <row r="23" spans="1:11">
      <c r="A23" s="123" t="s">
        <v>406</v>
      </c>
      <c r="B23" s="17" t="s">
        <v>225</v>
      </c>
      <c r="C23" s="10" t="s">
        <v>35</v>
      </c>
      <c r="D23" s="212">
        <f t="shared" si="4"/>
        <v>0</v>
      </c>
      <c r="E23" s="211">
        <f>E24+E25</f>
        <v>0</v>
      </c>
      <c r="F23" s="211">
        <f t="shared" ref="F23:J23" si="10">F24+F25</f>
        <v>0</v>
      </c>
      <c r="G23" s="211">
        <f t="shared" si="10"/>
        <v>0</v>
      </c>
      <c r="H23" s="212">
        <f t="shared" si="5"/>
        <v>0</v>
      </c>
      <c r="I23" s="211">
        <f t="shared" si="10"/>
        <v>0</v>
      </c>
      <c r="J23" s="211">
        <f t="shared" si="10"/>
        <v>0</v>
      </c>
      <c r="K23" s="211">
        <f>K24+K25</f>
        <v>0</v>
      </c>
    </row>
    <row r="24" spans="1:11">
      <c r="A24" s="123" t="s">
        <v>407</v>
      </c>
      <c r="B24" s="28" t="s">
        <v>226</v>
      </c>
      <c r="C24" s="10" t="s">
        <v>227</v>
      </c>
      <c r="D24" s="212">
        <f t="shared" si="4"/>
        <v>0</v>
      </c>
      <c r="E24" s="213"/>
      <c r="F24" s="213"/>
      <c r="G24" s="214"/>
      <c r="H24" s="212">
        <f t="shared" si="5"/>
        <v>0</v>
      </c>
      <c r="I24" s="214"/>
      <c r="J24" s="214"/>
      <c r="K24" s="214"/>
    </row>
    <row r="25" spans="1:11">
      <c r="A25" s="123" t="s">
        <v>408</v>
      </c>
      <c r="B25" s="28" t="s">
        <v>228</v>
      </c>
      <c r="C25" s="10" t="s">
        <v>229</v>
      </c>
      <c r="D25" s="212">
        <f t="shared" si="4"/>
        <v>0</v>
      </c>
      <c r="E25" s="213"/>
      <c r="F25" s="213"/>
      <c r="G25" s="214"/>
      <c r="H25" s="212">
        <f t="shared" si="5"/>
        <v>0</v>
      </c>
      <c r="I25" s="214"/>
      <c r="J25" s="214"/>
      <c r="K25" s="214"/>
    </row>
    <row r="26" spans="1:11">
      <c r="A26" s="123" t="s">
        <v>470</v>
      </c>
      <c r="B26" s="17" t="s">
        <v>230</v>
      </c>
      <c r="C26" s="10" t="s">
        <v>36</v>
      </c>
      <c r="D26" s="212">
        <f t="shared" si="4"/>
        <v>0</v>
      </c>
      <c r="E26" s="211">
        <f>E27+E28</f>
        <v>0</v>
      </c>
      <c r="F26" s="211">
        <f t="shared" ref="F26:J26" si="11">F27+F28</f>
        <v>0</v>
      </c>
      <c r="G26" s="211">
        <f t="shared" si="11"/>
        <v>0</v>
      </c>
      <c r="H26" s="212">
        <f>SUM(I26:K26)</f>
        <v>0</v>
      </c>
      <c r="I26" s="211">
        <f>I27+I28</f>
        <v>0</v>
      </c>
      <c r="J26" s="211">
        <f t="shared" si="11"/>
        <v>0</v>
      </c>
      <c r="K26" s="211">
        <f>K27+K28</f>
        <v>0</v>
      </c>
    </row>
    <row r="27" spans="1:11">
      <c r="A27" s="123" t="s">
        <v>471</v>
      </c>
      <c r="B27" s="28" t="s">
        <v>231</v>
      </c>
      <c r="C27" s="10" t="s">
        <v>232</v>
      </c>
      <c r="D27" s="212">
        <f t="shared" si="4"/>
        <v>0</v>
      </c>
      <c r="E27" s="213"/>
      <c r="F27" s="213"/>
      <c r="G27" s="214"/>
      <c r="H27" s="212">
        <f t="shared" si="5"/>
        <v>0</v>
      </c>
      <c r="I27" s="214"/>
      <c r="J27" s="214"/>
      <c r="K27" s="214"/>
    </row>
    <row r="28" spans="1:11" ht="31.2">
      <c r="A28" s="123" t="s">
        <v>472</v>
      </c>
      <c r="B28" s="28" t="s">
        <v>233</v>
      </c>
      <c r="C28" s="10" t="s">
        <v>234</v>
      </c>
      <c r="D28" s="212">
        <f t="shared" si="4"/>
        <v>0</v>
      </c>
      <c r="E28" s="213"/>
      <c r="F28" s="213"/>
      <c r="G28" s="214"/>
      <c r="H28" s="212">
        <f>SUM(I28:K28)</f>
        <v>0</v>
      </c>
      <c r="I28" s="214"/>
      <c r="J28" s="214"/>
      <c r="K28" s="214"/>
    </row>
    <row r="31" spans="1:11">
      <c r="B31" s="179" t="s">
        <v>362</v>
      </c>
      <c r="C31" s="179"/>
      <c r="D31" s="179"/>
      <c r="E31" s="179"/>
      <c r="F31" s="179"/>
      <c r="G31" s="179"/>
      <c r="H31" s="179"/>
      <c r="I31" s="179"/>
      <c r="J31" s="179"/>
      <c r="K31" s="179"/>
    </row>
    <row r="32" spans="1:11">
      <c r="B32" s="179" t="s">
        <v>258</v>
      </c>
      <c r="C32" s="179"/>
      <c r="D32" s="179"/>
      <c r="E32" s="179"/>
      <c r="F32" s="179"/>
      <c r="G32" s="179"/>
      <c r="H32" s="179"/>
      <c r="I32" s="179"/>
      <c r="J32" s="179"/>
      <c r="K32" s="179"/>
    </row>
    <row r="33" spans="1:11">
      <c r="B33" s="180" t="s">
        <v>0</v>
      </c>
      <c r="C33" s="180"/>
      <c r="D33" s="180"/>
      <c r="E33" s="180"/>
      <c r="F33" s="180"/>
      <c r="G33" s="180"/>
      <c r="H33" s="180"/>
      <c r="I33" s="180"/>
      <c r="J33" s="180"/>
      <c r="K33" s="180"/>
    </row>
    <row r="34" spans="1:11">
      <c r="B34" s="181" t="s">
        <v>247</v>
      </c>
      <c r="C34" s="181"/>
      <c r="D34" s="144" t="s">
        <v>92</v>
      </c>
      <c r="E34" s="144"/>
      <c r="F34" s="144"/>
      <c r="G34" s="144"/>
      <c r="H34" s="182" t="s">
        <v>205</v>
      </c>
      <c r="I34" s="182"/>
      <c r="J34" s="182"/>
      <c r="K34" s="182"/>
    </row>
    <row r="35" spans="1:11">
      <c r="B35" s="181"/>
      <c r="C35" s="181"/>
      <c r="D35" s="23" t="s">
        <v>91</v>
      </c>
      <c r="E35" s="47" t="s">
        <v>1</v>
      </c>
      <c r="F35" s="47" t="s">
        <v>2</v>
      </c>
      <c r="G35" s="47" t="s">
        <v>3</v>
      </c>
      <c r="H35" s="24" t="s">
        <v>91</v>
      </c>
      <c r="I35" s="47" t="s">
        <v>1</v>
      </c>
      <c r="J35" s="47" t="s">
        <v>2</v>
      </c>
      <c r="K35" s="47" t="s">
        <v>3</v>
      </c>
    </row>
    <row r="36" spans="1:11">
      <c r="B36" s="183">
        <v>1</v>
      </c>
      <c r="C36" s="183"/>
      <c r="D36" s="47">
        <v>2</v>
      </c>
      <c r="E36" s="47">
        <v>3</v>
      </c>
      <c r="F36" s="47">
        <v>4</v>
      </c>
      <c r="G36" s="47">
        <v>5</v>
      </c>
      <c r="H36" s="47">
        <v>6</v>
      </c>
      <c r="I36" s="47">
        <v>7</v>
      </c>
      <c r="J36" s="47">
        <v>8</v>
      </c>
      <c r="K36" s="47">
        <v>9</v>
      </c>
    </row>
    <row r="37" spans="1:11" ht="31.2">
      <c r="A37" s="123" t="s">
        <v>55</v>
      </c>
      <c r="B37" s="3" t="s">
        <v>361</v>
      </c>
      <c r="C37" s="47" t="s">
        <v>55</v>
      </c>
      <c r="D37" s="215">
        <f t="shared" ref="D37:G37" si="12">D38+D41+D44+D51+D54</f>
        <v>0</v>
      </c>
      <c r="E37" s="215">
        <f t="shared" si="12"/>
        <v>0</v>
      </c>
      <c r="F37" s="215">
        <f t="shared" si="12"/>
        <v>0</v>
      </c>
      <c r="G37" s="215">
        <f t="shared" si="12"/>
        <v>0</v>
      </c>
      <c r="H37" s="215">
        <f>H38+H41+H44+H51+H54</f>
        <v>0</v>
      </c>
      <c r="I37" s="215">
        <f t="shared" ref="I37:K37" si="13">I38+I41+I44+I51+I54</f>
        <v>0</v>
      </c>
      <c r="J37" s="215">
        <f t="shared" si="13"/>
        <v>0</v>
      </c>
      <c r="K37" s="215">
        <f t="shared" si="13"/>
        <v>0</v>
      </c>
    </row>
    <row r="38" spans="1:11">
      <c r="A38" s="123" t="s">
        <v>63</v>
      </c>
      <c r="B38" s="17" t="s">
        <v>206</v>
      </c>
      <c r="C38" s="10" t="s">
        <v>56</v>
      </c>
      <c r="D38" s="210">
        <f>D39+D40</f>
        <v>0</v>
      </c>
      <c r="E38" s="211">
        <f t="shared" ref="E38:F38" si="14">E39+E40</f>
        <v>0</v>
      </c>
      <c r="F38" s="211">
        <f t="shared" si="14"/>
        <v>0</v>
      </c>
      <c r="G38" s="211">
        <f>G39+G40</f>
        <v>0</v>
      </c>
      <c r="H38" s="210">
        <f>H39+H40</f>
        <v>0</v>
      </c>
      <c r="I38" s="211">
        <f t="shared" ref="I38:J38" si="15">I39+I40</f>
        <v>0</v>
      </c>
      <c r="J38" s="211">
        <f t="shared" si="15"/>
        <v>0</v>
      </c>
      <c r="K38" s="211">
        <f>K39+K40</f>
        <v>0</v>
      </c>
    </row>
    <row r="39" spans="1:11">
      <c r="A39" s="123" t="s">
        <v>69</v>
      </c>
      <c r="B39" s="28" t="s">
        <v>207</v>
      </c>
      <c r="C39" s="10" t="s">
        <v>263</v>
      </c>
      <c r="D39" s="212">
        <f>SUM(E39:G39)</f>
        <v>0</v>
      </c>
      <c r="E39" s="213"/>
      <c r="F39" s="213"/>
      <c r="G39" s="214"/>
      <c r="H39" s="212">
        <f>SUM(I39:K39)</f>
        <v>0</v>
      </c>
      <c r="I39" s="214"/>
      <c r="J39" s="214"/>
      <c r="K39" s="214"/>
    </row>
    <row r="40" spans="1:11">
      <c r="A40" s="123" t="s">
        <v>70</v>
      </c>
      <c r="B40" s="28" t="s">
        <v>209</v>
      </c>
      <c r="C40" s="10" t="s">
        <v>235</v>
      </c>
      <c r="D40" s="212">
        <f>SUM(E40:G40)</f>
        <v>0</v>
      </c>
      <c r="E40" s="213"/>
      <c r="F40" s="213"/>
      <c r="G40" s="214"/>
      <c r="H40" s="212">
        <f t="shared" ref="H40:H56" si="16">SUM(I40:K40)</f>
        <v>0</v>
      </c>
      <c r="I40" s="214"/>
      <c r="J40" s="214"/>
      <c r="K40" s="214"/>
    </row>
    <row r="41" spans="1:11" ht="31.2">
      <c r="A41" s="123" t="s">
        <v>389</v>
      </c>
      <c r="B41" s="17" t="s">
        <v>211</v>
      </c>
      <c r="C41" s="10" t="s">
        <v>57</v>
      </c>
      <c r="D41" s="212">
        <f t="shared" ref="D41:D56" si="17">SUM(E41:G41)</f>
        <v>0</v>
      </c>
      <c r="E41" s="211">
        <f t="shared" ref="E41" si="18">E42+E43</f>
        <v>0</v>
      </c>
      <c r="F41" s="211">
        <f>F42+F43</f>
        <v>0</v>
      </c>
      <c r="G41" s="211">
        <f t="shared" ref="G41:J41" si="19">G42+G43</f>
        <v>0</v>
      </c>
      <c r="H41" s="212">
        <f t="shared" si="16"/>
        <v>0</v>
      </c>
      <c r="I41" s="211">
        <f t="shared" si="19"/>
        <v>0</v>
      </c>
      <c r="J41" s="211">
        <f t="shared" si="19"/>
        <v>0</v>
      </c>
      <c r="K41" s="211">
        <f>K42+K43</f>
        <v>0</v>
      </c>
    </row>
    <row r="42" spans="1:11">
      <c r="A42" s="123" t="s">
        <v>390</v>
      </c>
      <c r="B42" s="25" t="s">
        <v>212</v>
      </c>
      <c r="C42" s="10" t="s">
        <v>236</v>
      </c>
      <c r="D42" s="212">
        <f>SUM(E42:G42)</f>
        <v>0</v>
      </c>
      <c r="E42" s="213"/>
      <c r="F42" s="213"/>
      <c r="G42" s="214"/>
      <c r="H42" s="212">
        <f t="shared" si="16"/>
        <v>0</v>
      </c>
      <c r="I42" s="214"/>
      <c r="J42" s="214"/>
      <c r="K42" s="214"/>
    </row>
    <row r="43" spans="1:11">
      <c r="A43" s="123" t="s">
        <v>391</v>
      </c>
      <c r="B43" s="26" t="s">
        <v>214</v>
      </c>
      <c r="C43" s="10" t="s">
        <v>237</v>
      </c>
      <c r="D43" s="212">
        <f t="shared" si="17"/>
        <v>0</v>
      </c>
      <c r="E43" s="213"/>
      <c r="F43" s="213"/>
      <c r="G43" s="214"/>
      <c r="H43" s="212">
        <f t="shared" si="16"/>
        <v>0</v>
      </c>
      <c r="I43" s="214"/>
      <c r="J43" s="214"/>
      <c r="K43" s="214"/>
    </row>
    <row r="44" spans="1:11" ht="31.2">
      <c r="A44" s="123" t="s">
        <v>392</v>
      </c>
      <c r="B44" s="17" t="s">
        <v>216</v>
      </c>
      <c r="C44" s="10" t="s">
        <v>58</v>
      </c>
      <c r="D44" s="212">
        <f t="shared" si="17"/>
        <v>0</v>
      </c>
      <c r="E44" s="211">
        <f t="shared" ref="E44" si="20">E45+E48</f>
        <v>0</v>
      </c>
      <c r="F44" s="211">
        <f>F45+F48</f>
        <v>0</v>
      </c>
      <c r="G44" s="211">
        <f t="shared" ref="G44" si="21">G45+G48</f>
        <v>0</v>
      </c>
      <c r="H44" s="212">
        <f t="shared" si="16"/>
        <v>0</v>
      </c>
      <c r="I44" s="211">
        <f t="shared" ref="I44:K44" si="22">I45+I48</f>
        <v>0</v>
      </c>
      <c r="J44" s="211">
        <f t="shared" si="22"/>
        <v>0</v>
      </c>
      <c r="K44" s="211">
        <f t="shared" si="22"/>
        <v>0</v>
      </c>
    </row>
    <row r="45" spans="1:11">
      <c r="A45" s="123" t="s">
        <v>393</v>
      </c>
      <c r="B45" s="28" t="s">
        <v>217</v>
      </c>
      <c r="C45" s="10" t="s">
        <v>167</v>
      </c>
      <c r="D45" s="212">
        <f t="shared" si="17"/>
        <v>0</v>
      </c>
      <c r="E45" s="211">
        <f t="shared" ref="E45:J45" si="23">E46+E47</f>
        <v>0</v>
      </c>
      <c r="F45" s="211">
        <f>F46+F47</f>
        <v>0</v>
      </c>
      <c r="G45" s="211">
        <f t="shared" si="23"/>
        <v>0</v>
      </c>
      <c r="H45" s="212">
        <f t="shared" si="16"/>
        <v>0</v>
      </c>
      <c r="I45" s="211">
        <f t="shared" si="23"/>
        <v>0</v>
      </c>
      <c r="J45" s="211">
        <f t="shared" si="23"/>
        <v>0</v>
      </c>
      <c r="K45" s="211">
        <f>K46+K47</f>
        <v>0</v>
      </c>
    </row>
    <row r="46" spans="1:11">
      <c r="A46" s="123" t="s">
        <v>411</v>
      </c>
      <c r="B46" s="30" t="s">
        <v>207</v>
      </c>
      <c r="C46" s="10" t="s">
        <v>238</v>
      </c>
      <c r="D46" s="212">
        <f t="shared" si="17"/>
        <v>0</v>
      </c>
      <c r="E46" s="213"/>
      <c r="F46" s="213"/>
      <c r="G46" s="214"/>
      <c r="H46" s="212">
        <f t="shared" si="16"/>
        <v>0</v>
      </c>
      <c r="I46" s="214"/>
      <c r="J46" s="214"/>
      <c r="K46" s="214"/>
    </row>
    <row r="47" spans="1:11">
      <c r="A47" s="123" t="s">
        <v>409</v>
      </c>
      <c r="B47" s="30" t="s">
        <v>209</v>
      </c>
      <c r="C47" s="10" t="s">
        <v>239</v>
      </c>
      <c r="D47" s="212">
        <f t="shared" si="17"/>
        <v>0</v>
      </c>
      <c r="E47" s="213"/>
      <c r="F47" s="213"/>
      <c r="G47" s="214"/>
      <c r="H47" s="212">
        <f t="shared" si="16"/>
        <v>0</v>
      </c>
      <c r="I47" s="214"/>
      <c r="J47" s="214"/>
      <c r="K47" s="214"/>
    </row>
    <row r="48" spans="1:11" ht="31.2">
      <c r="A48" s="123" t="s">
        <v>412</v>
      </c>
      <c r="B48" s="28" t="s">
        <v>220</v>
      </c>
      <c r="C48" s="10" t="s">
        <v>168</v>
      </c>
      <c r="D48" s="212">
        <f>SUM(E48:G48)</f>
        <v>0</v>
      </c>
      <c r="E48" s="211">
        <f t="shared" ref="E48:J48" si="24">E49+E50</f>
        <v>0</v>
      </c>
      <c r="F48" s="211">
        <f>F49+F50</f>
        <v>0</v>
      </c>
      <c r="G48" s="211">
        <f t="shared" si="24"/>
        <v>0</v>
      </c>
      <c r="H48" s="212">
        <f t="shared" si="16"/>
        <v>0</v>
      </c>
      <c r="I48" s="211">
        <f t="shared" si="24"/>
        <v>0</v>
      </c>
      <c r="J48" s="211">
        <f t="shared" si="24"/>
        <v>0</v>
      </c>
      <c r="K48" s="211">
        <f>K49+K50</f>
        <v>0</v>
      </c>
    </row>
    <row r="49" spans="1:11">
      <c r="A49" s="123" t="s">
        <v>413</v>
      </c>
      <c r="B49" s="29" t="s">
        <v>221</v>
      </c>
      <c r="C49" s="10" t="s">
        <v>240</v>
      </c>
      <c r="D49" s="212">
        <f>SUM(E49:G49)</f>
        <v>0</v>
      </c>
      <c r="E49" s="213"/>
      <c r="F49" s="213"/>
      <c r="G49" s="214"/>
      <c r="H49" s="212">
        <f>SUM(I49:K49)</f>
        <v>0</v>
      </c>
      <c r="I49" s="214"/>
      <c r="J49" s="214"/>
      <c r="K49" s="214"/>
    </row>
    <row r="50" spans="1:11" ht="31.2">
      <c r="A50" s="123" t="s">
        <v>414</v>
      </c>
      <c r="B50" s="29" t="s">
        <v>223</v>
      </c>
      <c r="C50" s="10" t="s">
        <v>241</v>
      </c>
      <c r="D50" s="212">
        <f t="shared" si="17"/>
        <v>0</v>
      </c>
      <c r="E50" s="213"/>
      <c r="F50" s="213"/>
      <c r="G50" s="214"/>
      <c r="H50" s="212">
        <f t="shared" si="16"/>
        <v>0</v>
      </c>
      <c r="I50" s="214"/>
      <c r="J50" s="214"/>
      <c r="K50" s="214"/>
    </row>
    <row r="51" spans="1:11">
      <c r="A51" s="123" t="s">
        <v>415</v>
      </c>
      <c r="B51" s="17" t="s">
        <v>225</v>
      </c>
      <c r="C51" s="10" t="s">
        <v>59</v>
      </c>
      <c r="D51" s="212">
        <f>SUM(E51:G51)</f>
        <v>0</v>
      </c>
      <c r="E51" s="211">
        <f t="shared" ref="E51:J51" si="25">E52+E53</f>
        <v>0</v>
      </c>
      <c r="F51" s="211">
        <f t="shared" si="25"/>
        <v>0</v>
      </c>
      <c r="G51" s="211">
        <f t="shared" si="25"/>
        <v>0</v>
      </c>
      <c r="H51" s="212">
        <f t="shared" si="16"/>
        <v>0</v>
      </c>
      <c r="I51" s="211">
        <f t="shared" si="25"/>
        <v>0</v>
      </c>
      <c r="J51" s="211">
        <f t="shared" si="25"/>
        <v>0</v>
      </c>
      <c r="K51" s="211">
        <f>K52+K53</f>
        <v>0</v>
      </c>
    </row>
    <row r="52" spans="1:11">
      <c r="A52" s="123" t="s">
        <v>416</v>
      </c>
      <c r="B52" s="28" t="s">
        <v>226</v>
      </c>
      <c r="C52" s="10" t="s">
        <v>242</v>
      </c>
      <c r="D52" s="212">
        <f>SUM(E52:G52)</f>
        <v>0</v>
      </c>
      <c r="E52" s="213"/>
      <c r="F52" s="213"/>
      <c r="G52" s="214"/>
      <c r="H52" s="212">
        <f t="shared" si="16"/>
        <v>0</v>
      </c>
      <c r="I52" s="214"/>
      <c r="J52" s="214"/>
      <c r="K52" s="214"/>
    </row>
    <row r="53" spans="1:11">
      <c r="A53" s="123" t="s">
        <v>417</v>
      </c>
      <c r="B53" s="28" t="s">
        <v>228</v>
      </c>
      <c r="C53" s="10" t="s">
        <v>243</v>
      </c>
      <c r="D53" s="212">
        <f>SUM(E53:G53)</f>
        <v>0</v>
      </c>
      <c r="E53" s="213"/>
      <c r="F53" s="213"/>
      <c r="G53" s="214"/>
      <c r="H53" s="212">
        <f t="shared" si="16"/>
        <v>0</v>
      </c>
      <c r="I53" s="214"/>
      <c r="J53" s="214"/>
      <c r="K53" s="214"/>
    </row>
    <row r="54" spans="1:11">
      <c r="A54" s="123" t="s">
        <v>491</v>
      </c>
      <c r="B54" s="17" t="s">
        <v>230</v>
      </c>
      <c r="C54" s="10" t="s">
        <v>60</v>
      </c>
      <c r="D54" s="212">
        <f t="shared" si="17"/>
        <v>0</v>
      </c>
      <c r="E54" s="211">
        <f t="shared" ref="E54:J54" si="26">E55+E56</f>
        <v>0</v>
      </c>
      <c r="F54" s="211">
        <f t="shared" si="26"/>
        <v>0</v>
      </c>
      <c r="G54" s="211">
        <f t="shared" si="26"/>
        <v>0</v>
      </c>
      <c r="H54" s="212">
        <f t="shared" si="16"/>
        <v>0</v>
      </c>
      <c r="I54" s="211">
        <f t="shared" si="26"/>
        <v>0</v>
      </c>
      <c r="J54" s="211">
        <f t="shared" si="26"/>
        <v>0</v>
      </c>
      <c r="K54" s="211">
        <f>K55+K56</f>
        <v>0</v>
      </c>
    </row>
    <row r="55" spans="1:11">
      <c r="A55" s="123" t="s">
        <v>492</v>
      </c>
      <c r="B55" s="28" t="s">
        <v>231</v>
      </c>
      <c r="C55" s="10" t="s">
        <v>244</v>
      </c>
      <c r="D55" s="212">
        <f t="shared" si="17"/>
        <v>0</v>
      </c>
      <c r="E55" s="213"/>
      <c r="F55" s="213"/>
      <c r="G55" s="214"/>
      <c r="H55" s="212">
        <f t="shared" si="16"/>
        <v>0</v>
      </c>
      <c r="I55" s="214"/>
      <c r="J55" s="214"/>
      <c r="K55" s="214"/>
    </row>
    <row r="56" spans="1:11" ht="31.2">
      <c r="A56" s="123" t="s">
        <v>493</v>
      </c>
      <c r="B56" s="28" t="s">
        <v>233</v>
      </c>
      <c r="C56" s="10" t="s">
        <v>245</v>
      </c>
      <c r="D56" s="212">
        <f t="shared" si="17"/>
        <v>0</v>
      </c>
      <c r="E56" s="213"/>
      <c r="F56" s="213"/>
      <c r="G56" s="214"/>
      <c r="H56" s="212">
        <f t="shared" si="16"/>
        <v>0</v>
      </c>
      <c r="I56" s="214"/>
      <c r="J56" s="214"/>
      <c r="K56" s="214"/>
    </row>
  </sheetData>
  <sheetProtection algorithmName="SHA-512" hashValue="4MMEpXa9yaYP+1qAsQ0p6rU6fcuxvDY02GtdLUDrTuZA+cxmzCLMpy/JNc+MSnTjwXLkRdqyY/Rv8dsALHIfww==" saltValue="C/w+57tLaU+86QY4xgzDHg==" spinCount="100000" sheet="1" objects="1" scenarios="1"/>
  <mergeCells count="15">
    <mergeCell ref="B36:C36"/>
    <mergeCell ref="B8:C8"/>
    <mergeCell ref="B31:K31"/>
    <mergeCell ref="B32:K32"/>
    <mergeCell ref="B33:K33"/>
    <mergeCell ref="B34:C35"/>
    <mergeCell ref="D34:G34"/>
    <mergeCell ref="H34:K34"/>
    <mergeCell ref="B2:K2"/>
    <mergeCell ref="B3:K3"/>
    <mergeCell ref="B4:K4"/>
    <mergeCell ref="B5:K5"/>
    <mergeCell ref="B6:C7"/>
    <mergeCell ref="D6:G6"/>
    <mergeCell ref="H6:K6"/>
  </mergeCells>
  <phoneticPr fontId="52" type="noConversion"/>
  <conditionalFormatting sqref="D6:G6">
    <cfRule type="expression" dxfId="3" priority="2">
      <formula>#REF!="PLEASE CORRECT ALL COMPARISON RULES"</formula>
    </cfRule>
  </conditionalFormatting>
  <conditionalFormatting sqref="D34:G34">
    <cfRule type="expression" dxfId="2" priority="1">
      <formula>#REF!="PLEASE CORRECT ALL COMPARISON RULES"</formula>
    </cfRule>
  </conditionalFormatting>
  <pageMargins left="0.7" right="0.7" top="0.75" bottom="0.75" header="0.3" footer="0.3"/>
  <ignoredErrors>
    <ignoredError sqref="D39:D47 H39:H48 D12 H12 H15:H16 H27 H18:H25 D14:D28 D50 H50:H56 D53:D56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02F04-6A3E-4342-BBED-524E9C433DF1}">
  <dimension ref="A1:M30"/>
  <sheetViews>
    <sheetView showGridLines="0" tabSelected="1" topLeftCell="A14" zoomScaleNormal="100" workbookViewId="0">
      <selection activeCell="D25" sqref="D25:G27"/>
    </sheetView>
  </sheetViews>
  <sheetFormatPr defaultColWidth="9.109375" defaultRowHeight="15.6"/>
  <cols>
    <col min="1" max="1" width="9.109375" style="117"/>
    <col min="2" max="2" width="56.5546875" style="39" customWidth="1"/>
    <col min="3" max="3" width="11.109375" style="39" customWidth="1"/>
    <col min="4" max="4" width="18.88671875" style="40" customWidth="1"/>
    <col min="5" max="5" width="19" style="40" customWidth="1"/>
    <col min="6" max="6" width="18.6640625" style="40" customWidth="1"/>
    <col min="7" max="7" width="17.6640625" style="40" customWidth="1"/>
    <col min="8" max="8" width="16.88671875" style="40" customWidth="1"/>
    <col min="9" max="9" width="16.109375" style="40" customWidth="1"/>
    <col min="10" max="11" width="16" style="40" customWidth="1"/>
    <col min="12" max="12" width="23.6640625" style="40" customWidth="1"/>
    <col min="13" max="13" width="4.6640625" style="39" customWidth="1"/>
    <col min="14" max="16384" width="9.109375" style="39"/>
  </cols>
  <sheetData>
    <row r="1" spans="1:13" s="52" customFormat="1">
      <c r="A1" s="112"/>
      <c r="D1" s="53"/>
      <c r="E1" s="53"/>
      <c r="F1" s="53"/>
      <c r="G1" s="53"/>
      <c r="H1" s="53"/>
      <c r="I1" s="53"/>
      <c r="J1" s="53"/>
      <c r="K1" s="53"/>
      <c r="L1" s="53"/>
    </row>
    <row r="2" spans="1:13" s="54" customFormat="1">
      <c r="A2" s="113"/>
      <c r="B2" s="155" t="s">
        <v>341</v>
      </c>
      <c r="C2" s="155"/>
      <c r="D2" s="155"/>
      <c r="E2" s="155"/>
      <c r="F2" s="155"/>
      <c r="G2" s="155"/>
      <c r="H2" s="20"/>
      <c r="I2" s="20"/>
      <c r="J2" s="20"/>
      <c r="K2" s="20"/>
      <c r="L2" s="20"/>
    </row>
    <row r="3" spans="1:13" s="40" customFormat="1" ht="37.5" customHeight="1">
      <c r="A3" s="114"/>
      <c r="B3" s="154" t="s">
        <v>363</v>
      </c>
      <c r="C3" s="154"/>
      <c r="D3" s="154"/>
      <c r="E3" s="154"/>
      <c r="F3" s="154"/>
      <c r="G3" s="154"/>
      <c r="M3" s="39"/>
    </row>
    <row r="4" spans="1:13" s="40" customFormat="1">
      <c r="A4" s="114"/>
      <c r="B4" s="155" t="s">
        <v>325</v>
      </c>
      <c r="C4" s="155"/>
      <c r="D4" s="155"/>
      <c r="E4" s="155"/>
      <c r="F4" s="155"/>
      <c r="G4" s="155"/>
      <c r="M4" s="39"/>
    </row>
    <row r="5" spans="1:13" s="40" customFormat="1">
      <c r="A5" s="115"/>
      <c r="B5" s="39"/>
      <c r="C5" s="39"/>
      <c r="G5" s="32" t="s">
        <v>0</v>
      </c>
      <c r="M5" s="39"/>
    </row>
    <row r="6" spans="1:13" s="40" customFormat="1" ht="22.5" customHeight="1">
      <c r="A6" s="115"/>
      <c r="B6" s="173" t="s">
        <v>326</v>
      </c>
      <c r="C6" s="158"/>
      <c r="D6" s="144" t="s">
        <v>92</v>
      </c>
      <c r="E6" s="144"/>
      <c r="F6" s="144"/>
      <c r="G6" s="144"/>
      <c r="M6" s="39"/>
    </row>
    <row r="7" spans="1:13" s="40" customFormat="1">
      <c r="A7" s="115"/>
      <c r="B7" s="158"/>
      <c r="C7" s="158"/>
      <c r="D7" s="1" t="s">
        <v>91</v>
      </c>
      <c r="E7" s="46" t="s">
        <v>1</v>
      </c>
      <c r="F7" s="46" t="s">
        <v>2</v>
      </c>
      <c r="G7" s="46" t="s">
        <v>3</v>
      </c>
      <c r="M7" s="39"/>
    </row>
    <row r="8" spans="1:13" s="40" customFormat="1">
      <c r="A8" s="115"/>
      <c r="B8" s="156">
        <v>1</v>
      </c>
      <c r="C8" s="157"/>
      <c r="D8" s="46">
        <v>2</v>
      </c>
      <c r="E8" s="46">
        <v>3</v>
      </c>
      <c r="F8" s="46">
        <v>4</v>
      </c>
      <c r="G8" s="46">
        <v>5</v>
      </c>
      <c r="M8" s="39"/>
    </row>
    <row r="9" spans="1:13" s="40" customFormat="1">
      <c r="A9" s="115" t="s">
        <v>23</v>
      </c>
      <c r="B9" s="41" t="s">
        <v>364</v>
      </c>
      <c r="C9" s="46" t="s">
        <v>23</v>
      </c>
      <c r="D9" s="124"/>
      <c r="E9" s="125"/>
      <c r="F9" s="125"/>
      <c r="G9" s="126"/>
      <c r="M9" s="39"/>
    </row>
    <row r="10" spans="1:13" s="40" customFormat="1">
      <c r="A10" s="115" t="s">
        <v>39</v>
      </c>
      <c r="B10" s="42" t="s">
        <v>328</v>
      </c>
      <c r="C10" s="43" t="s">
        <v>32</v>
      </c>
      <c r="D10" s="189">
        <f t="shared" ref="D10:D15" si="0">SUM(E10:G10)</f>
        <v>0</v>
      </c>
      <c r="E10" s="186"/>
      <c r="F10" s="186"/>
      <c r="G10" s="186"/>
      <c r="M10" s="39"/>
    </row>
    <row r="11" spans="1:13" s="40" customFormat="1">
      <c r="A11" s="115" t="s">
        <v>52</v>
      </c>
      <c r="B11" s="42" t="s">
        <v>327</v>
      </c>
      <c r="C11" s="43" t="s">
        <v>33</v>
      </c>
      <c r="D11" s="189">
        <f t="shared" si="0"/>
        <v>0</v>
      </c>
      <c r="E11" s="186"/>
      <c r="F11" s="186"/>
      <c r="G11" s="186"/>
      <c r="M11" s="39"/>
    </row>
    <row r="12" spans="1:13" s="40" customFormat="1">
      <c r="A12" s="115" t="s">
        <v>53</v>
      </c>
      <c r="B12" s="42" t="s">
        <v>268</v>
      </c>
      <c r="C12" s="43" t="s">
        <v>34</v>
      </c>
      <c r="D12" s="189">
        <f t="shared" si="0"/>
        <v>0</v>
      </c>
      <c r="E12" s="186"/>
      <c r="F12" s="186"/>
      <c r="G12" s="186"/>
      <c r="M12" s="39"/>
    </row>
    <row r="13" spans="1:13" s="40" customFormat="1">
      <c r="A13" s="115" t="s">
        <v>388</v>
      </c>
      <c r="B13" s="42" t="s">
        <v>272</v>
      </c>
      <c r="C13" s="43" t="s">
        <v>35</v>
      </c>
      <c r="D13" s="189">
        <f t="shared" si="0"/>
        <v>0</v>
      </c>
      <c r="E13" s="189">
        <f>-(F13+G13)</f>
        <v>0</v>
      </c>
      <c r="F13" s="186"/>
      <c r="G13" s="186"/>
      <c r="M13" s="39"/>
    </row>
    <row r="14" spans="1:13" s="40" customFormat="1">
      <c r="A14" s="115" t="s">
        <v>398</v>
      </c>
      <c r="B14" s="42" t="s">
        <v>273</v>
      </c>
      <c r="C14" s="43" t="s">
        <v>36</v>
      </c>
      <c r="D14" s="189">
        <f t="shared" si="0"/>
        <v>0</v>
      </c>
      <c r="E14" s="186"/>
      <c r="F14" s="189">
        <f>-(E14+G14)</f>
        <v>0</v>
      </c>
      <c r="G14" s="186"/>
      <c r="M14" s="39"/>
    </row>
    <row r="15" spans="1:13" s="40" customFormat="1">
      <c r="A15" s="115" t="s">
        <v>399</v>
      </c>
      <c r="B15" s="42" t="s">
        <v>274</v>
      </c>
      <c r="C15" s="43" t="s">
        <v>37</v>
      </c>
      <c r="D15" s="189">
        <f t="shared" si="0"/>
        <v>0</v>
      </c>
      <c r="E15" s="186"/>
      <c r="F15" s="186"/>
      <c r="G15" s="189">
        <f>-(E15+F15)</f>
        <v>0</v>
      </c>
      <c r="M15" s="39"/>
    </row>
    <row r="16" spans="1:13" s="40" customFormat="1" ht="18" customHeight="1">
      <c r="A16" s="115" t="s">
        <v>400</v>
      </c>
      <c r="B16" s="42" t="s">
        <v>329</v>
      </c>
      <c r="C16" s="43" t="s">
        <v>38</v>
      </c>
      <c r="D16" s="188">
        <f>D10+D11-D12+D13+D14+D15</f>
        <v>0</v>
      </c>
      <c r="E16" s="188">
        <f t="shared" ref="E16:G16" si="1">E10+E11-E12+E13+E14+E15</f>
        <v>0</v>
      </c>
      <c r="F16" s="188">
        <f t="shared" si="1"/>
        <v>0</v>
      </c>
      <c r="G16" s="188">
        <f t="shared" si="1"/>
        <v>0</v>
      </c>
      <c r="M16" s="39"/>
    </row>
    <row r="17" spans="1:13" s="59" customFormat="1">
      <c r="A17" s="116"/>
      <c r="B17" s="56"/>
      <c r="C17" s="57"/>
      <c r="D17" s="58"/>
      <c r="E17" s="57"/>
      <c r="F17" s="57"/>
      <c r="G17" s="57"/>
      <c r="M17" s="54"/>
    </row>
    <row r="19" spans="1:13" s="40" customFormat="1" ht="20.25" customHeight="1">
      <c r="A19" s="114"/>
      <c r="B19" s="154" t="s">
        <v>358</v>
      </c>
      <c r="C19" s="154"/>
      <c r="D19" s="154"/>
      <c r="E19" s="154"/>
      <c r="F19" s="154"/>
      <c r="G19" s="154"/>
      <c r="M19" s="39"/>
    </row>
    <row r="20" spans="1:13" s="40" customFormat="1">
      <c r="A20" s="114"/>
      <c r="B20" s="155" t="s">
        <v>325</v>
      </c>
      <c r="C20" s="155"/>
      <c r="D20" s="155"/>
      <c r="E20" s="155"/>
      <c r="F20" s="155"/>
      <c r="G20" s="155"/>
      <c r="M20" s="39"/>
    </row>
    <row r="21" spans="1:13" s="40" customFormat="1">
      <c r="A21" s="114"/>
      <c r="C21" s="39"/>
      <c r="G21" s="32" t="s">
        <v>0</v>
      </c>
      <c r="M21" s="39"/>
    </row>
    <row r="22" spans="1:13" ht="22.5" customHeight="1">
      <c r="B22" s="173" t="s">
        <v>326</v>
      </c>
      <c r="C22" s="158"/>
      <c r="D22" s="144" t="s">
        <v>205</v>
      </c>
      <c r="E22" s="144"/>
      <c r="F22" s="144"/>
      <c r="G22" s="144"/>
    </row>
    <row r="23" spans="1:13">
      <c r="B23" s="158"/>
      <c r="C23" s="158"/>
      <c r="D23" s="1" t="s">
        <v>91</v>
      </c>
      <c r="E23" s="46" t="s">
        <v>1</v>
      </c>
      <c r="F23" s="46" t="s">
        <v>2</v>
      </c>
      <c r="G23" s="46" t="s">
        <v>3</v>
      </c>
    </row>
    <row r="24" spans="1:13">
      <c r="B24" s="156">
        <v>1</v>
      </c>
      <c r="C24" s="157"/>
      <c r="D24" s="46">
        <v>2</v>
      </c>
      <c r="E24" s="46">
        <v>3</v>
      </c>
      <c r="F24" s="46">
        <v>4</v>
      </c>
      <c r="G24" s="46">
        <v>5</v>
      </c>
    </row>
    <row r="25" spans="1:13">
      <c r="A25" s="117" t="s">
        <v>55</v>
      </c>
      <c r="B25" s="41" t="s">
        <v>364</v>
      </c>
      <c r="C25" s="46" t="s">
        <v>39</v>
      </c>
      <c r="D25" s="124"/>
      <c r="E25" s="125"/>
      <c r="F25" s="125"/>
      <c r="G25" s="126"/>
    </row>
    <row r="26" spans="1:13">
      <c r="A26" s="117" t="s">
        <v>63</v>
      </c>
      <c r="B26" s="42" t="s">
        <v>328</v>
      </c>
      <c r="C26" s="43" t="s">
        <v>40</v>
      </c>
      <c r="D26" s="189">
        <f t="shared" ref="D26:D27" si="2">SUM(E26:G26)</f>
        <v>0</v>
      </c>
      <c r="E26" s="186"/>
      <c r="F26" s="186"/>
      <c r="G26" s="186"/>
    </row>
    <row r="27" spans="1:13" s="40" customFormat="1">
      <c r="A27" s="117" t="s">
        <v>69</v>
      </c>
      <c r="B27" s="42" t="s">
        <v>329</v>
      </c>
      <c r="C27" s="43" t="s">
        <v>41</v>
      </c>
      <c r="D27" s="189">
        <f t="shared" si="2"/>
        <v>0</v>
      </c>
      <c r="E27" s="186"/>
      <c r="F27" s="186"/>
      <c r="G27" s="186"/>
      <c r="M27" s="39"/>
    </row>
    <row r="28" spans="1:13" s="40" customFormat="1" ht="9.75" customHeight="1">
      <c r="A28" s="115"/>
      <c r="B28" s="39"/>
      <c r="C28" s="39"/>
      <c r="M28" s="39"/>
    </row>
    <row r="29" spans="1:13" s="40" customFormat="1" ht="12" customHeight="1">
      <c r="A29" s="115"/>
      <c r="B29" s="39"/>
      <c r="C29" s="39"/>
      <c r="M29" s="39"/>
    </row>
    <row r="30" spans="1:13" s="40" customFormat="1">
      <c r="A30" s="115" t="s">
        <v>72</v>
      </c>
      <c r="B30" s="31" t="s">
        <v>323</v>
      </c>
      <c r="C30" s="39"/>
      <c r="M30" s="39"/>
    </row>
  </sheetData>
  <sheetProtection algorithmName="SHA-512" hashValue="WtSWEacFMTyVftW7Q+QZBLbuOzLz+0wO3fWbyPTKCzRyE3L6xJ9lULpGWse3Y/6VkOHYrKhCTM3CX9AjiZMQZg==" saltValue="YGn9RvZtAagKTQbScCxupw==" spinCount="100000" sheet="1" objects="1" scenarios="1"/>
  <mergeCells count="13">
    <mergeCell ref="B24:C24"/>
    <mergeCell ref="B8:C8"/>
    <mergeCell ref="B19:G19"/>
    <mergeCell ref="B20:G20"/>
    <mergeCell ref="B22:B23"/>
    <mergeCell ref="C22:C23"/>
    <mergeCell ref="D22:G22"/>
    <mergeCell ref="B2:G2"/>
    <mergeCell ref="B3:G3"/>
    <mergeCell ref="B4:G4"/>
    <mergeCell ref="B6:B7"/>
    <mergeCell ref="C6:C7"/>
    <mergeCell ref="D6:G6"/>
  </mergeCells>
  <phoneticPr fontId="52" type="noConversion"/>
  <conditionalFormatting sqref="D6:G6">
    <cfRule type="expression" dxfId="1" priority="2">
      <formula>#REF!="PLEASE CORRECT ALL COMPARISON RULES"</formula>
    </cfRule>
  </conditionalFormatting>
  <conditionalFormatting sqref="D22:G22">
    <cfRule type="expression" dxfId="0" priority="1">
      <formula>#REF!="PLEASE CORRECT ALL COMPARISON RULES"</formula>
    </cfRule>
  </conditionalFormatting>
  <pageMargins left="0.7" right="0.7" top="0.75" bottom="0.75" header="0.3" footer="0.3"/>
  <pageSetup paperSize="9" scale="51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23f1e015-8920-4bb7-a279-5015379871f4" origin="userSelected"/>
</file>

<file path=customXml/itemProps1.xml><?xml version="1.0" encoding="utf-8"?>
<ds:datastoreItem xmlns:ds="http://schemas.openxmlformats.org/officeDocument/2006/customXml" ds:itemID="{5534602F-FB2E-4BB4-A5D8-F235F580043B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Titul vərəqi</vt:lpstr>
      <vt:lpstr>A1</vt:lpstr>
      <vt:lpstr>A1.1</vt:lpstr>
      <vt:lpstr>A1.2</vt:lpstr>
      <vt:lpstr>A2</vt:lpstr>
      <vt:lpstr>A2.1</vt:lpstr>
      <vt:lpstr>A3</vt:lpstr>
      <vt:lpstr>A3.1</vt:lpstr>
      <vt:lpstr>A4</vt:lpstr>
      <vt:lpstr>A4.1</vt:lpstr>
      <vt:lpstr>'A1'!Print_Area</vt:lpstr>
      <vt:lpstr>A1.1!Print_Area</vt:lpstr>
      <vt:lpstr>A1.2!Print_Area</vt:lpstr>
      <vt:lpstr>A2.1!Print_Area</vt:lpstr>
      <vt:lpstr>A3.1!Print_Area</vt:lpstr>
      <vt:lpstr>A4.1!Print_Area</vt:lpstr>
      <vt:lpstr>'Titul vərəqi'!Print_Area</vt:lpstr>
    </vt:vector>
  </TitlesOfParts>
  <Company>CBAR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Aydan Masmalizada</dc:creator>
  <cp:lastModifiedBy>Gulnar Novruzova</cp:lastModifiedBy>
  <dcterms:created xsi:type="dcterms:W3CDTF">2024-06-12T07:07:06Z</dcterms:created>
  <dcterms:modified xsi:type="dcterms:W3CDTF">2025-10-06T07:53:04Z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4cc2dd17-b498-4b3b-88c8-69116d93d7af</vt:lpwstr>
  </property>
  <property fmtid="{D5CDD505-2E9C-101B-9397-08002B2CF9AE}" pid="3" name="bjDocumentSecurityLabel">
    <vt:lpwstr>This item has no classification</vt:lpwstr>
  </property>
  <property fmtid="{D5CDD505-2E9C-101B-9397-08002B2CF9AE}" pid="4" name="bjSaver">
    <vt:lpwstr>iLGOWg9F0AlM/El5GwS0X6ZwZWHmS2/J</vt:lpwstr>
  </property>
  <property fmtid="{D5CDD505-2E9C-101B-9397-08002B2CF9AE}" pid="5" name="bjClsUserRVM">
    <vt:lpwstr>[]</vt:lpwstr>
  </property>
</Properties>
</file>